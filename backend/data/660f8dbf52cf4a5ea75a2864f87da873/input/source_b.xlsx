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Finance Files (Chaw Su)\Main Payment\2026\"/>
    </mc:Choice>
  </mc:AlternateContent>
  <xr:revisionPtr revIDLastSave="0" documentId="13_ncr:1_{9C4C9BF2-A7B3-45D2-AF00-FB15A3D2D312}" xr6:coauthVersionLast="47" xr6:coauthVersionMax="47" xr10:uidLastSave="{00000000-0000-0000-0000-000000000000}"/>
  <bookViews>
    <workbookView xWindow="30" yWindow="0" windowWidth="20460" windowHeight="10920" firstSheet="2" activeTab="9" xr2:uid="{5831B506-ED63-4BDC-8EDE-FC0B5D136A3A}"/>
  </bookViews>
  <sheets>
    <sheet name="4 May" sheetId="158" r:id="rId1"/>
    <sheet name="5 May" sheetId="159" r:id="rId2"/>
    <sheet name="11 May" sheetId="160" r:id="rId3"/>
    <sheet name="15 May" sheetId="161" r:id="rId4"/>
    <sheet name="21 May" sheetId="162" r:id="rId5"/>
    <sheet name="22 May" sheetId="163" r:id="rId6"/>
    <sheet name="25 May" sheetId="164" r:id="rId7"/>
    <sheet name="26 May" sheetId="165" r:id="rId8"/>
    <sheet name="27 May" sheetId="166" r:id="rId9"/>
    <sheet name="29 May" sheetId="16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67" l="1"/>
  <c r="I13" i="167"/>
  <c r="I10" i="167"/>
  <c r="I9" i="167"/>
  <c r="I8" i="167"/>
  <c r="I7" i="167"/>
  <c r="I14" i="167"/>
  <c r="I12" i="167"/>
  <c r="I11" i="167"/>
  <c r="I6" i="167"/>
  <c r="I5" i="167"/>
  <c r="I4" i="167"/>
  <c r="I11" i="166"/>
  <c r="I7" i="166"/>
  <c r="I8" i="166"/>
  <c r="I9" i="166"/>
  <c r="I10" i="166"/>
  <c r="I6" i="166"/>
  <c r="I5" i="166"/>
  <c r="I4" i="166"/>
  <c r="I6" i="165"/>
  <c r="I5" i="165"/>
  <c r="I4" i="165"/>
  <c r="I7" i="165" s="1"/>
  <c r="I33" i="163"/>
  <c r="I5" i="164"/>
  <c r="I4" i="164"/>
  <c r="I29" i="163"/>
  <c r="I30" i="163"/>
  <c r="I31" i="163"/>
  <c r="I32" i="163"/>
  <c r="I28" i="163"/>
  <c r="I27" i="163"/>
  <c r="I26" i="163"/>
  <c r="I25" i="163"/>
  <c r="I24" i="163"/>
  <c r="I23" i="163"/>
  <c r="I22" i="163"/>
  <c r="I21" i="163"/>
  <c r="I20" i="163"/>
  <c r="I19" i="163"/>
  <c r="I18" i="163"/>
  <c r="I17" i="163"/>
  <c r="I16" i="163"/>
  <c r="I15" i="163"/>
  <c r="I14" i="163"/>
  <c r="I13" i="163"/>
  <c r="I12" i="163"/>
  <c r="I11" i="163"/>
  <c r="I10" i="163"/>
  <c r="I9" i="163"/>
  <c r="I8" i="163"/>
  <c r="I7" i="163"/>
  <c r="I6" i="163"/>
  <c r="I5" i="163"/>
  <c r="I4" i="163"/>
  <c r="I12" i="162"/>
  <c r="I11" i="162"/>
  <c r="I10" i="162"/>
  <c r="I9" i="162"/>
  <c r="I8" i="162"/>
  <c r="I7" i="162"/>
  <c r="I6" i="162"/>
  <c r="I5" i="162"/>
  <c r="I4" i="162"/>
  <c r="I29" i="161"/>
  <c r="I11" i="161"/>
  <c r="I12" i="161"/>
  <c r="I13" i="161"/>
  <c r="I14" i="161"/>
  <c r="I15" i="161"/>
  <c r="I16" i="161"/>
  <c r="I17" i="161"/>
  <c r="I18" i="161"/>
  <c r="I19" i="161"/>
  <c r="I20" i="161"/>
  <c r="I21" i="161"/>
  <c r="I22" i="161"/>
  <c r="I23" i="161"/>
  <c r="I24" i="161"/>
  <c r="I25" i="161"/>
  <c r="I26" i="161"/>
  <c r="I27" i="161"/>
  <c r="I28" i="161"/>
  <c r="I10" i="161"/>
  <c r="I9" i="161"/>
  <c r="I8" i="161"/>
  <c r="I7" i="161"/>
  <c r="I6" i="161"/>
  <c r="I5" i="161"/>
  <c r="I4" i="161"/>
  <c r="I12" i="160"/>
  <c r="I11" i="160"/>
  <c r="I10" i="160"/>
  <c r="I9" i="160"/>
  <c r="I8" i="160"/>
  <c r="I7" i="160"/>
  <c r="I6" i="160"/>
  <c r="I5" i="160"/>
  <c r="I4" i="160"/>
  <c r="I12" i="159"/>
  <c r="I11" i="159"/>
  <c r="I10" i="159"/>
  <c r="I9" i="159"/>
  <c r="I8" i="159"/>
  <c r="I7" i="159"/>
  <c r="I6" i="159"/>
  <c r="I5" i="159"/>
  <c r="I4" i="159"/>
  <c r="I9" i="158"/>
  <c r="I10" i="158"/>
  <c r="I11" i="158"/>
  <c r="I12" i="158"/>
  <c r="I13" i="158"/>
  <c r="I5" i="158"/>
  <c r="I6" i="158"/>
  <c r="I7" i="158"/>
  <c r="I8" i="158"/>
  <c r="I4" i="158"/>
  <c r="I6" i="164" l="1"/>
  <c r="I13" i="160"/>
  <c r="I13" i="159"/>
  <c r="I14" i="158"/>
</calcChain>
</file>

<file path=xl/sharedStrings.xml><?xml version="1.0" encoding="utf-8"?>
<sst xmlns="http://schemas.openxmlformats.org/spreadsheetml/2006/main" count="820" uniqueCount="344">
  <si>
    <t xml:space="preserve">Payment by MPU for IPD </t>
  </si>
  <si>
    <t>No.</t>
  </si>
  <si>
    <t>Client</t>
  </si>
  <si>
    <t>Owner</t>
  </si>
  <si>
    <t>Application No.</t>
  </si>
  <si>
    <t>Mark</t>
  </si>
  <si>
    <t>Class</t>
  </si>
  <si>
    <t>Quantity of class</t>
  </si>
  <si>
    <t>Per class</t>
  </si>
  <si>
    <t>Total</t>
  </si>
  <si>
    <t>Paid date</t>
  </si>
  <si>
    <t>Acc. Name</t>
  </si>
  <si>
    <t>Kyaw Moe Htet</t>
  </si>
  <si>
    <t>TM- Registration Fees Payment</t>
  </si>
  <si>
    <t>City Holdings</t>
  </si>
  <si>
    <t>CITY GOLDEN FIELDS COMPANY LIMITED</t>
  </si>
  <si>
    <t>WFT2026085890
T/2026/002509</t>
  </si>
  <si>
    <t>Sun Gold</t>
  </si>
  <si>
    <t>Aye Aye Khaing</t>
  </si>
  <si>
    <t>S&amp;O Southeast Asia</t>
  </si>
  <si>
    <t>Reliance Consumer Products Limited</t>
  </si>
  <si>
    <t>WFT2026085273
T/2026/002512</t>
  </si>
  <si>
    <t>BADEDAS</t>
  </si>
  <si>
    <t>WFT2026085274
T/2026/002514</t>
  </si>
  <si>
    <t>MATEY</t>
  </si>
  <si>
    <t>WFT2026085276
T/2026/002513</t>
  </si>
  <si>
    <t>BRYLCREEM</t>
  </si>
  <si>
    <t>Bengzon Negre Untalan ( Bonifacio Global City, Philippines )</t>
  </si>
  <si>
    <t>Green Cross, Inc.</t>
  </si>
  <si>
    <t>WFU2026969247
T/2021/009699</t>
  </si>
  <si>
    <t>GREENEX</t>
  </si>
  <si>
    <t>Aboitiz Power Corporation</t>
  </si>
  <si>
    <t>WFU2026969244
T/2021/013938</t>
  </si>
  <si>
    <t>AboitizPower A Better Future</t>
  </si>
  <si>
    <t>39, 40, 42</t>
  </si>
  <si>
    <t>WFU2026969246
T/2021/013943</t>
  </si>
  <si>
    <t>AboitizPower</t>
  </si>
  <si>
    <t>Annam IP &amp; Law (  Hanoi, Vietnam )</t>
  </si>
  <si>
    <t>FERROLI S.P.A.</t>
  </si>
  <si>
    <t>WFU2026969075
T/2021/014342</t>
  </si>
  <si>
    <t>Ferroli</t>
  </si>
  <si>
    <t>Neal Gerber Eisenberg LLP ( USA )</t>
  </si>
  <si>
    <t>Cosaco LLC</t>
  </si>
  <si>
    <t>WFU2026969126
T/2021/016895</t>
  </si>
  <si>
    <t>KOCIDE</t>
  </si>
  <si>
    <t>Chofn IP ( Beijing, China )</t>
  </si>
  <si>
    <t>Foshan Haitian Flavouring &amp; Food Co., Ltd.</t>
  </si>
  <si>
    <t>WFU2026969100
T/2021/019535</t>
  </si>
  <si>
    <t>CHINESE CHARACTERS TIAN DING</t>
  </si>
  <si>
    <t>UNT Associates International Co., Ltd ( Thailand )</t>
  </si>
  <si>
    <t>Ms. Angkana Suttilertvorakul</t>
  </si>
  <si>
    <t>WFU2026970546
T/2021/012425</t>
  </si>
  <si>
    <t>ROSNEUNG and Thai characters</t>
  </si>
  <si>
    <t>HARDWOOD PTE LTD ( Singapore )</t>
  </si>
  <si>
    <t>HARDWOOD PRIVATE LIMITED</t>
  </si>
  <si>
    <t>WFU2026970334
T/2021/014824</t>
  </si>
  <si>
    <t>BITZ</t>
  </si>
  <si>
    <t>WFU2026970337
T/2021/014819</t>
  </si>
  <si>
    <t>KRAFFEL</t>
  </si>
  <si>
    <t>WFU2026970339
T/2021/014821</t>
  </si>
  <si>
    <t>KURANG ASEM</t>
  </si>
  <si>
    <t>WFU2026970333
T/2021/014847</t>
  </si>
  <si>
    <t>AHAVA</t>
  </si>
  <si>
    <t>36, 43</t>
  </si>
  <si>
    <t>Spruson &amp; Ferguson (Asia) Pte Ltd ( Singapore )</t>
  </si>
  <si>
    <t>KING KOIL LICENSING COMPANY, INC.</t>
  </si>
  <si>
    <t>WFU2026970343
T/2021/017967</t>
  </si>
  <si>
    <t>KING KOIL</t>
  </si>
  <si>
    <t>WFU2026970344
T/2021/017968</t>
  </si>
  <si>
    <t>KING KOIL with Swoosh design</t>
  </si>
  <si>
    <t>Quality Oracle Sdn  Bhd ( Malaysia )</t>
  </si>
  <si>
    <t>REST N GO APP SDN. BHD.</t>
  </si>
  <si>
    <t>WFU2026970330
T/2021/012733</t>
  </si>
  <si>
    <t>Rest N Go</t>
  </si>
  <si>
    <t>TM-4</t>
  </si>
  <si>
    <t>Trademark2U ( Malaysia )</t>
  </si>
  <si>
    <t>MILUX CORPORATION BERHAD</t>
  </si>
  <si>
    <t>WFU2026970329
T/2021/020702</t>
  </si>
  <si>
    <t>MILUX</t>
  </si>
  <si>
    <t>TM-18</t>
  </si>
  <si>
    <t>Vision IP Law Firm (China)</t>
  </si>
  <si>
    <t>Anhui Fuguang Industrial Co.,Ltd.</t>
  </si>
  <si>
    <t>WFT2026086230
T/2026/002679</t>
  </si>
  <si>
    <t>FGA</t>
  </si>
  <si>
    <t>GINTASSET ( Hanoi, Vietnam )</t>
  </si>
  <si>
    <t>INNER MONGOLIA MENGNIU DAIRY (GROUP) CO. LTD.</t>
  </si>
  <si>
    <t>WFU2026974578
T/2021/011262</t>
  </si>
  <si>
    <t>C and device</t>
  </si>
  <si>
    <t>5, 29, 30, 32</t>
  </si>
  <si>
    <t>WFU2026974609
T/2021/011263</t>
  </si>
  <si>
    <t>C logo</t>
  </si>
  <si>
    <t>WFU2026974615
T/2021/011264</t>
  </si>
  <si>
    <t>Just Pure</t>
  </si>
  <si>
    <t>C&amp;H IP Law Limited ( Zhejiang, China )</t>
  </si>
  <si>
    <t>Chongqing Guangbenwanqiang Motorcycle Manufacturing Co., Ltd.</t>
  </si>
  <si>
    <t>WFU2026974617
T/2021/011915</t>
  </si>
  <si>
    <t>KOREVETO</t>
  </si>
  <si>
    <t>Beijing Hustrong IP ( Beijing, China )</t>
  </si>
  <si>
    <t>Tiens Group Co., Ltd.</t>
  </si>
  <si>
    <t>WFU2026974638
T/2021/013230</t>
  </si>
  <si>
    <t>CAPELLIUS</t>
  </si>
  <si>
    <t>WFU2026974653
T/2021/013231</t>
  </si>
  <si>
    <t>CILVARIS</t>
  </si>
  <si>
    <t>WFU2026974655
T/2021/013232</t>
  </si>
  <si>
    <t>Herbliss</t>
  </si>
  <si>
    <t>WFU2026974656
T/2021/013233</t>
  </si>
  <si>
    <t>ORECARE</t>
  </si>
  <si>
    <t>WFU2026974659
T/2021/013235</t>
  </si>
  <si>
    <t>tiens</t>
  </si>
  <si>
    <t>10, 20, 21, 24, 35</t>
  </si>
  <si>
    <t>WFU2026974662
T/2021/013236</t>
  </si>
  <si>
    <t>Tiens logo</t>
  </si>
  <si>
    <t>5, 10, 35</t>
  </si>
  <si>
    <t>WFU2026974796
T/2021/013238</t>
  </si>
  <si>
    <t>TIENS</t>
  </si>
  <si>
    <t>3, 5, 10, 35, 44</t>
  </si>
  <si>
    <t>QUANZHOU MAXPROM IMP./EXP.CO., LTD.</t>
  </si>
  <si>
    <t>WFU2026974670
T/2021/013239</t>
  </si>
  <si>
    <t>WEPLUS</t>
  </si>
  <si>
    <t>CSW CB BANK</t>
  </si>
  <si>
    <t>D&amp;T LAW ( Ho Chi Minh, Vietnam )</t>
  </si>
  <si>
    <t>LAVO CORPORATION</t>
  </si>
  <si>
    <t>WFU2026974572
T/2021/013400</t>
  </si>
  <si>
    <t>m.pros</t>
  </si>
  <si>
    <t>Tranfan Law ( Zhejing, China )</t>
  </si>
  <si>
    <t>ZHEJIANG FLY CUP CO.,LTD.</t>
  </si>
  <si>
    <t>WFU2026974628
T/2021/013650</t>
  </si>
  <si>
    <t>KAKE</t>
  </si>
  <si>
    <t>SAILUN GROUP CO., LTD.</t>
  </si>
  <si>
    <t>WFU2026974616
T/2021/013978</t>
  </si>
  <si>
    <t>BLACKHAWK</t>
  </si>
  <si>
    <t>QuanU Furniture Co., Ltd.</t>
  </si>
  <si>
    <t>WFU2026974627
T/2021/014345</t>
  </si>
  <si>
    <t>QUANU</t>
  </si>
  <si>
    <t>SUNNY INT‘L IPR MANAGEMENT CO., LTD ( Beijing, China )</t>
  </si>
  <si>
    <t>Guangzhou Hongkexiang Electronic Technology Co., Ltd.</t>
  </si>
  <si>
    <t>WFU2026974683
T/2021/014447</t>
  </si>
  <si>
    <t>ankax</t>
  </si>
  <si>
    <t>SAVENCIA SA ( France )</t>
  </si>
  <si>
    <t>SUD ALIMENTATION</t>
  </si>
  <si>
    <t>WFU2026974675
T/2021/016985</t>
  </si>
  <si>
    <t>S SAVENCIA</t>
  </si>
  <si>
    <t>5, 29, 30, 32, 43</t>
  </si>
  <si>
    <t>Unitalen ( Beijing, China )</t>
  </si>
  <si>
    <t>Yangtze Memory Technologies Co., Ltd.</t>
  </si>
  <si>
    <t>WFU2026974629
T/2021/017706</t>
  </si>
  <si>
    <t>ZHITAI</t>
  </si>
  <si>
    <t>WFU2026974672
T/2021/018465</t>
  </si>
  <si>
    <t>WFU2026974673
T/2021/018466</t>
  </si>
  <si>
    <t>GUANGZHOU NEAR MAP TRADING CO., LTD.</t>
  </si>
  <si>
    <t>WFU2026974666
T/2021/019589</t>
  </si>
  <si>
    <t>KAILAS</t>
  </si>
  <si>
    <t>18, 20, 22, 25</t>
  </si>
  <si>
    <t>Trademark2U ( Thailand )</t>
  </si>
  <si>
    <t>Krungsiam Beverage Co., Ltd.</t>
  </si>
  <si>
    <t>WFU2026974685
T/2021/019704</t>
  </si>
  <si>
    <t>X-BEAR</t>
  </si>
  <si>
    <t>Atlantic China Welding Consumables, Inc.</t>
  </si>
  <si>
    <t>WFU2026974686
T/2021/021119</t>
  </si>
  <si>
    <t>ATLANTIC</t>
  </si>
  <si>
    <t>1, 6</t>
  </si>
  <si>
    <t>Banca IP Law Firm</t>
  </si>
  <si>
    <t>GP CLUB CO., LTD.</t>
  </si>
  <si>
    <t>WFT2026086425
T/2026/002746</t>
  </si>
  <si>
    <t>JMELLA</t>
  </si>
  <si>
    <t>The Procter &amp; Gamble Company</t>
  </si>
  <si>
    <t>WFT2026086427
T/2026/002747</t>
  </si>
  <si>
    <t>ROSYLUCENT AURA</t>
  </si>
  <si>
    <t>BASF SE</t>
  </si>
  <si>
    <t>BASF Agricultural Solutions Deutschland GmbH</t>
  </si>
  <si>
    <t>WFT2026086421
T/2026/002742</t>
  </si>
  <si>
    <t>PANVAIA</t>
  </si>
  <si>
    <t>1,2,5,9,21,22,24,29,31,35,36,42,44</t>
  </si>
  <si>
    <t>WFT2026086422
T/2026/002744</t>
  </si>
  <si>
    <t>AGVEEA</t>
  </si>
  <si>
    <t>City Mart Holding Company Limited ( Local )</t>
  </si>
  <si>
    <t>MYANMAR VINEYARD ESTATE COMPANY LIMITED</t>
  </si>
  <si>
    <t>WFU2026975684
T/2021/013781</t>
  </si>
  <si>
    <t>Aythaya SHAN PANYA and logo</t>
  </si>
  <si>
    <t>Local</t>
  </si>
  <si>
    <t>MYANMAR CULTURAL HERITAGE COMPANY LIMITED</t>
  </si>
  <si>
    <t>WFU2026975705
T/2021/016602</t>
  </si>
  <si>
    <t>THE SECRETARIAT</t>
  </si>
  <si>
    <t>WFU2026975688
T/2021/016603</t>
  </si>
  <si>
    <t>Brandstock Legal GmbH ( Munich, Germany )</t>
  </si>
  <si>
    <t>Röhm GmbH</t>
  </si>
  <si>
    <t>WFU2026975422
T/2021/019546</t>
  </si>
  <si>
    <t>PLEXIGLAS</t>
  </si>
  <si>
    <t>TM- Additional Fees for One class</t>
  </si>
  <si>
    <t>WFT2026086470
T/2026/002793</t>
  </si>
  <si>
    <t>REZZURECT</t>
  </si>
  <si>
    <t>01,05,31</t>
  </si>
  <si>
    <t>WFT2026086469
T/2026/002792</t>
  </si>
  <si>
    <t>REXONTI</t>
  </si>
  <si>
    <t>WFT2026086473
T/2026/002795</t>
  </si>
  <si>
    <t>VELMORA</t>
  </si>
  <si>
    <t>WFT2026086462
T/2026/002786</t>
  </si>
  <si>
    <t>FIDEXTO</t>
  </si>
  <si>
    <t>WFT2026086463
T/2026/002787</t>
  </si>
  <si>
    <t>FINUVIA</t>
  </si>
  <si>
    <t>WFT2026086461
T/2026/002785</t>
  </si>
  <si>
    <t>EDILARGE</t>
  </si>
  <si>
    <t>WFT2026086464
T/2026/002788</t>
  </si>
  <si>
    <t>FLAMIO</t>
  </si>
  <si>
    <t>WFT2026086465
T/2026/002789</t>
  </si>
  <si>
    <t>GAMENAS</t>
  </si>
  <si>
    <t>WFT2026086466
T/2026/002790</t>
  </si>
  <si>
    <t>PROCUVA</t>
  </si>
  <si>
    <t>WFT2026086467
T/2026/002791</t>
  </si>
  <si>
    <t>PURGOET</t>
  </si>
  <si>
    <t>WFT2026086471
T/2026/002794</t>
  </si>
  <si>
    <t>RILNOVA</t>
  </si>
  <si>
    <t>ဦးအောင်ထွန်းသူ</t>
  </si>
  <si>
    <t>WFT2026086481
T/2026/002796</t>
  </si>
  <si>
    <t>အင်းဝ</t>
  </si>
  <si>
    <t>ဦးသက်ဝင်း (ခ) ဦးသံလုံး</t>
  </si>
  <si>
    <t>WFT2026086485
T/2026/002797</t>
  </si>
  <si>
    <t>ဦးသံလုံး ၏ ရွှေကချင်</t>
  </si>
  <si>
    <t>WE IP</t>
  </si>
  <si>
    <t>EVERCLEVER CO., LTD.</t>
  </si>
  <si>
    <t>WFT2026086231
T/2026/002830</t>
  </si>
  <si>
    <t>WELLS INTERNATIONAL SCHOOL</t>
  </si>
  <si>
    <t>Vision &amp; Associates ( Hanoi, Vietnam )</t>
  </si>
  <si>
    <t>BDO Unibank, Inc.</t>
  </si>
  <si>
    <t>WFU2026976452
T/2021/013627</t>
  </si>
  <si>
    <t>BDO Banco De Oro</t>
  </si>
  <si>
    <t>16, 36</t>
  </si>
  <si>
    <t>INVESTPRO &amp; ASSOCIATES ( Hanoi, Vietnam )</t>
  </si>
  <si>
    <t>BEIJING QIHOO TECHNOLOGY COMPANY LIMITED</t>
  </si>
  <si>
    <t>WFU2026976496
T/2021/014003</t>
  </si>
  <si>
    <t>Inner Mongolia Xiao Wei Yang Catering Franchise Co., Ltd.</t>
  </si>
  <si>
    <t>WFU2026976497
T/2021/013999</t>
  </si>
  <si>
    <t>Little lamb, Chinese characters&amp; device</t>
  </si>
  <si>
    <t>LG HOUSEHOLD &amp; HEALTH CARE LTD.</t>
  </si>
  <si>
    <t>WFU2026976454
T/2021/014266</t>
  </si>
  <si>
    <t>WHITE SEED</t>
  </si>
  <si>
    <t>WFU2026976528
T/2021/014711</t>
  </si>
  <si>
    <t>HEAD &amp; SHOULDERS</t>
  </si>
  <si>
    <t>D.D. Sprocket (Thailand) Co. Ltd.</t>
  </si>
  <si>
    <t>WFU2026976557
T/2021/016248</t>
  </si>
  <si>
    <t>MR. YAP CHEE CHOONG</t>
  </si>
  <si>
    <t>WFU2026976471
T/2021/016532</t>
  </si>
  <si>
    <t>CELLIZ</t>
  </si>
  <si>
    <t>Richard Law Group ( Dallas, Texas,  USA )</t>
  </si>
  <si>
    <t>FOSSIL GROUP, INC.</t>
  </si>
  <si>
    <t>WFU2026976499
T/2021/017038</t>
  </si>
  <si>
    <t>FOSSIL</t>
  </si>
  <si>
    <t>WFU2026976514
T/2021/017039</t>
  </si>
  <si>
    <t>MICHELE</t>
  </si>
  <si>
    <t>WFU2026976515
T/2021/017041</t>
  </si>
  <si>
    <t>SKAGEN</t>
  </si>
  <si>
    <t>9, 14</t>
  </si>
  <si>
    <t>Montres Antima SA</t>
  </si>
  <si>
    <t>WFU2026976483
T/2021/017049</t>
  </si>
  <si>
    <t>ZODIAC</t>
  </si>
  <si>
    <t>WFU2026976481
T/2021/017051</t>
  </si>
  <si>
    <t>Zodiac and logo</t>
  </si>
  <si>
    <t>Marcaria.com ( Miami, USA )</t>
  </si>
  <si>
    <t>LAUNCHLIFE USA, Inc.</t>
  </si>
  <si>
    <t>WFU2026976498
T/2021/017358</t>
  </si>
  <si>
    <t>Engineering For Kids</t>
  </si>
  <si>
    <t>RiceTec Inc.</t>
  </si>
  <si>
    <t>WFU2026976536
T/2021/017417</t>
  </si>
  <si>
    <t>MAX-ACE</t>
  </si>
  <si>
    <t>5, 31, 44</t>
  </si>
  <si>
    <t>Karyopharm Therapeutics Inc.</t>
  </si>
  <si>
    <t>WFU2026976544
T/2021/018510</t>
  </si>
  <si>
    <t>XPOVIO</t>
  </si>
  <si>
    <t>MR.YEE CHEE KEONG</t>
  </si>
  <si>
    <t>WFU2026976558
T/2021/020315</t>
  </si>
  <si>
    <t>nose</t>
  </si>
  <si>
    <t>BASF SE  ( Germany )</t>
  </si>
  <si>
    <t>WFU2026977449
T/2021/009496</t>
  </si>
  <si>
    <t>BASF</t>
  </si>
  <si>
    <t>1, 2, 3, 4, 5, 9, 16, 17, 30,42</t>
  </si>
  <si>
    <t>AHOA LAW OFFICE ( Ho Chi Minh, Vietnam )</t>
  </si>
  <si>
    <t>HONG KY CO., LTD</t>
  </si>
  <si>
    <t>WFU2026978088
T/2021/010813</t>
  </si>
  <si>
    <t>HONG KY</t>
  </si>
  <si>
    <t>Vision &amp; Associates (Hanoi,Vietnam)</t>
  </si>
  <si>
    <t>Guangzhou Red Sun Car Accessories Co., Ltd.</t>
  </si>
  <si>
    <t>WFU2026978297
T/2021/009947</t>
  </si>
  <si>
    <t>大运 DAYUN</t>
  </si>
  <si>
    <t>Khaitan &amp; Co LLP ( LLp Identiy No. AAA-0866 ) ( India )</t>
  </si>
  <si>
    <t>Emami Limited</t>
  </si>
  <si>
    <t>WFU2026978074
T/2021/021428</t>
  </si>
  <si>
    <t>EMAMI FAIR AND HANDSOME</t>
  </si>
  <si>
    <t>VIETNAM AND INTERNATIONAL IP AGENCY</t>
  </si>
  <si>
    <t>JAFA PLASTIC INDUSTRY COMPANY LIMITED</t>
  </si>
  <si>
    <t>WFT2026084618
T/2026/002881</t>
  </si>
  <si>
    <t>JAFA DIAMOND ROPE</t>
  </si>
  <si>
    <t>22, 35</t>
  </si>
  <si>
    <t>WFT2026084619
T/2026/002882</t>
  </si>
  <si>
    <t>PM- DIAMOND</t>
  </si>
  <si>
    <t>WENZHOU Z&amp;M IP AGENCY CO., LTD</t>
  </si>
  <si>
    <t>GOLD EMPEROR (MYANMAR) CO., LTD.</t>
  </si>
  <si>
    <t>WFT2026086614
T/2026/002884</t>
  </si>
  <si>
    <t>Gold Emperor</t>
  </si>
  <si>
    <t>Fraser and Neave Limited ( Singapore )</t>
  </si>
  <si>
    <t>FRASERS PROPERTY LIMITED</t>
  </si>
  <si>
    <t>WFU2026978606
T/2021/016270</t>
  </si>
  <si>
    <t>FRASERS PROPERTY</t>
  </si>
  <si>
    <t>9, 16, 35, 36, 37, 42, 43</t>
  </si>
  <si>
    <t>WFU2026978604
T/2021/016271</t>
  </si>
  <si>
    <t>FRASER RESIDENCE</t>
  </si>
  <si>
    <t>9, 16, 36, 43</t>
  </si>
  <si>
    <t>WFU2026978605
T/2021/016273</t>
  </si>
  <si>
    <t>FRASERS HOSPITALITY</t>
  </si>
  <si>
    <t>9, 16, 35, 36, 43</t>
  </si>
  <si>
    <t>China Hong Kong Patent Limited</t>
  </si>
  <si>
    <t>CASETAGRAM LIMITED</t>
  </si>
  <si>
    <t>WFT2026086619
T/2026/002889</t>
  </si>
  <si>
    <t>CASETiFY</t>
  </si>
  <si>
    <t>Thant Zaw Htike</t>
  </si>
  <si>
    <t>Tsubame Patent Attorney Firm</t>
  </si>
  <si>
    <t>Manda Fermentation Co., Ltd.</t>
  </si>
  <si>
    <t>WFU2026979697
T/2021/004776</t>
  </si>
  <si>
    <t>MANDA</t>
  </si>
  <si>
    <t>1, 5</t>
  </si>
  <si>
    <t>WFU2026979692
T/2021/004779</t>
  </si>
  <si>
    <t>MANDA FERMENTATION</t>
  </si>
  <si>
    <t>WFU2026979687
T/2021/004780</t>
  </si>
  <si>
    <t>MANDA FERMENTATION and logo</t>
  </si>
  <si>
    <t>WFU2026979695
T/2021/004784</t>
  </si>
  <si>
    <t>MANDA KOSO</t>
  </si>
  <si>
    <t>WFU2026979698
T/2021/004786</t>
  </si>
  <si>
    <t>မန်းဒ</t>
  </si>
  <si>
    <t>MERCURY PAINTS FACTORY SDN. BHD.</t>
  </si>
  <si>
    <t>WFU2026979702
T/2021/016999</t>
  </si>
  <si>
    <t>CARMIX and Device</t>
  </si>
  <si>
    <t>WFU2026979709
T/2021/017001</t>
  </si>
  <si>
    <t>HITARY 928 and Device</t>
  </si>
  <si>
    <t>WFU2026979718
T/2021/017003</t>
  </si>
  <si>
    <t>MERCURY and DEVICE</t>
  </si>
  <si>
    <t>GEOX S.P.A.</t>
  </si>
  <si>
    <t>WFU2026979681
T/2021/021543</t>
  </si>
  <si>
    <t>PHONICA</t>
  </si>
  <si>
    <t>18, 25</t>
  </si>
  <si>
    <t>OPPO MEDICAL INC.</t>
  </si>
  <si>
    <t>WFU2026979578
T/2021/010689</t>
  </si>
  <si>
    <t>OPPO Stylized &amp; Company Logo</t>
  </si>
  <si>
    <t>OPPO MEDICAL INC</t>
  </si>
  <si>
    <t>WFU2026979577
T/2021/010690</t>
  </si>
  <si>
    <t>OPPO Stylized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</si>
</sst>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[$-409]d\-mmm\-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Arial"/>
      <family val="2"/>
    </font>
    <font>
      <b/>
      <sz val="12"/>
      <color indexed="8"/>
      <name val="Pyidaungsu"/>
      <family val="2"/>
    </font>
    <font>
      <b/>
      <sz val="12"/>
      <color theme="1"/>
      <name val="Pyidaungsu"/>
      <family val="2"/>
    </font>
    <font>
      <b/>
      <sz val="2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</cellStyleXfs>
  <cellXfs count="3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64" fontId="2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9" fillId="0" borderId="1" xfId="2" applyFont="1" applyBorder="1" applyAlignment="1">
      <alignment vertical="center" wrapText="1"/>
    </xf>
    <xf numFmtId="0" fontId="9" fillId="0" borderId="1" xfId="4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165" fontId="7" fillId="0" borderId="1" xfId="1" applyNumberFormat="1" applyFont="1" applyFill="1" applyBorder="1" applyAlignment="1">
      <alignment vertical="center"/>
    </xf>
    <xf numFmtId="166" fontId="7" fillId="0" borderId="1" xfId="1" applyNumberFormat="1" applyFont="1" applyFill="1" applyBorder="1" applyAlignment="1">
      <alignment vertical="center"/>
    </xf>
    <xf numFmtId="16" fontId="0" fillId="0" borderId="1" xfId="0" applyNumberFormat="1" applyBorder="1" applyAlignment="1">
      <alignment horizontal="center" vertical="center"/>
    </xf>
    <xf numFmtId="165" fontId="7" fillId="0" borderId="5" xfId="1" applyNumberFormat="1" applyFont="1" applyFill="1" applyBorder="1" applyAlignment="1">
      <alignment vertical="center"/>
    </xf>
    <xf numFmtId="165" fontId="7" fillId="0" borderId="0" xfId="1" applyNumberFormat="1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wrapText="1"/>
    </xf>
    <xf numFmtId="0" fontId="3" fillId="0" borderId="0" xfId="0" applyFont="1" applyAlignment="1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2" borderId="1" xfId="2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wrapText="1"/>
    </xf>
    <xf numFmtId="0" fontId="9" fillId="2" borderId="1" xfId="4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/>
    </xf>
    <xf numFmtId="165" fontId="7" fillId="2" borderId="1" xfId="1" applyNumberFormat="1" applyFont="1" applyFill="1" applyBorder="1" applyAlignment="1">
      <alignment vertical="center"/>
    </xf>
    <xf numFmtId="166" fontId="7" fillId="2" borderId="1" xfId="1" applyNumberFormat="1" applyFont="1" applyFill="1" applyBorder="1" applyAlignment="1">
      <alignment vertical="center"/>
    </xf>
    <xf numFmtId="16" fontId="0" fillId="2" borderId="1" xfId="0" applyNumberForma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9" fillId="2" borderId="1" xfId="3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_Sheet1" xfId="2" xr:uid="{6CBD3DAB-6E95-4347-830B-907537537330}"/>
    <cellStyle name="Normal_Sheet1 2" xfId="4" xr:uid="{3AD0A0F5-8804-40BA-90C9-1C83808CA783}"/>
    <cellStyle name="Normal_Sheet1 5" xfId="3" xr:uid="{C52CB981-8479-4E1C-8991-5CCFED4335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image" Target="../media/image19.png"/><Relationship Id="rId18" Type="http://schemas.openxmlformats.org/officeDocument/2006/relationships/image" Target="../media/image24.png"/><Relationship Id="rId3" Type="http://schemas.openxmlformats.org/officeDocument/2006/relationships/image" Target="../media/image9.png"/><Relationship Id="rId21" Type="http://schemas.openxmlformats.org/officeDocument/2006/relationships/image" Target="../media/image27.png"/><Relationship Id="rId7" Type="http://schemas.openxmlformats.org/officeDocument/2006/relationships/image" Target="../media/image13.png"/><Relationship Id="rId12" Type="http://schemas.openxmlformats.org/officeDocument/2006/relationships/image" Target="../media/image18.png"/><Relationship Id="rId17" Type="http://schemas.openxmlformats.org/officeDocument/2006/relationships/image" Target="../media/image23.png"/><Relationship Id="rId25" Type="http://schemas.openxmlformats.org/officeDocument/2006/relationships/image" Target="../media/image31.png"/><Relationship Id="rId2" Type="http://schemas.openxmlformats.org/officeDocument/2006/relationships/image" Target="../media/image8.png"/><Relationship Id="rId16" Type="http://schemas.openxmlformats.org/officeDocument/2006/relationships/image" Target="../media/image22.png"/><Relationship Id="rId20" Type="http://schemas.openxmlformats.org/officeDocument/2006/relationships/image" Target="../media/image26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24" Type="http://schemas.openxmlformats.org/officeDocument/2006/relationships/image" Target="../media/image30.png"/><Relationship Id="rId5" Type="http://schemas.openxmlformats.org/officeDocument/2006/relationships/image" Target="../media/image11.png"/><Relationship Id="rId15" Type="http://schemas.openxmlformats.org/officeDocument/2006/relationships/image" Target="../media/image21.png"/><Relationship Id="rId23" Type="http://schemas.openxmlformats.org/officeDocument/2006/relationships/image" Target="../media/image29.png"/><Relationship Id="rId10" Type="http://schemas.openxmlformats.org/officeDocument/2006/relationships/image" Target="../media/image16.png"/><Relationship Id="rId19" Type="http://schemas.openxmlformats.org/officeDocument/2006/relationships/image" Target="../media/image25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Relationship Id="rId14" Type="http://schemas.openxmlformats.org/officeDocument/2006/relationships/image" Target="../media/image20.png"/><Relationship Id="rId22" Type="http://schemas.openxmlformats.org/officeDocument/2006/relationships/image" Target="../media/image2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33.png"/><Relationship Id="rId1" Type="http://schemas.openxmlformats.org/officeDocument/2006/relationships/image" Target="../media/image32.png"/><Relationship Id="rId4" Type="http://schemas.openxmlformats.org/officeDocument/2006/relationships/image" Target="../media/image3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3.png"/><Relationship Id="rId3" Type="http://schemas.openxmlformats.org/officeDocument/2006/relationships/image" Target="../media/image38.png"/><Relationship Id="rId7" Type="http://schemas.openxmlformats.org/officeDocument/2006/relationships/image" Target="../media/image42.png"/><Relationship Id="rId2" Type="http://schemas.openxmlformats.org/officeDocument/2006/relationships/image" Target="../media/image37.emf"/><Relationship Id="rId1" Type="http://schemas.openxmlformats.org/officeDocument/2006/relationships/image" Target="../media/image36.emf"/><Relationship Id="rId6" Type="http://schemas.openxmlformats.org/officeDocument/2006/relationships/image" Target="../media/image41.png"/><Relationship Id="rId5" Type="http://schemas.openxmlformats.org/officeDocument/2006/relationships/image" Target="../media/image40.png"/><Relationship Id="rId10" Type="http://schemas.openxmlformats.org/officeDocument/2006/relationships/image" Target="../media/image45.png"/><Relationship Id="rId4" Type="http://schemas.openxmlformats.org/officeDocument/2006/relationships/image" Target="../media/image39.png"/><Relationship Id="rId9" Type="http://schemas.openxmlformats.org/officeDocument/2006/relationships/image" Target="../media/image4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8.png"/><Relationship Id="rId1" Type="http://schemas.openxmlformats.org/officeDocument/2006/relationships/image" Target="../media/image4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1.emf"/><Relationship Id="rId2" Type="http://schemas.openxmlformats.org/officeDocument/2006/relationships/image" Target="../media/image50.emf"/><Relationship Id="rId1" Type="http://schemas.openxmlformats.org/officeDocument/2006/relationships/image" Target="../media/image49.emf"/><Relationship Id="rId4" Type="http://schemas.openxmlformats.org/officeDocument/2006/relationships/image" Target="../media/image5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5.png"/><Relationship Id="rId2" Type="http://schemas.openxmlformats.org/officeDocument/2006/relationships/image" Target="../media/image54.png"/><Relationship Id="rId1" Type="http://schemas.openxmlformats.org/officeDocument/2006/relationships/image" Target="../media/image53.png"/><Relationship Id="rId5" Type="http://schemas.openxmlformats.org/officeDocument/2006/relationships/image" Target="../media/image57.png"/><Relationship Id="rId4" Type="http://schemas.openxmlformats.org/officeDocument/2006/relationships/image" Target="../media/image5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3</xdr:row>
      <xdr:rowOff>28576</xdr:rowOff>
    </xdr:from>
    <xdr:to>
      <xdr:col>4</xdr:col>
      <xdr:colOff>1543050</xdr:colOff>
      <xdr:row>3</xdr:row>
      <xdr:rowOff>718630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42F176-6600-3E51-F8B5-0D26911FD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0875" y="800101"/>
          <a:ext cx="1057275" cy="690054"/>
        </a:xfrm>
        <a:prstGeom prst="rect">
          <a:avLst/>
        </a:prstGeom>
      </xdr:spPr>
    </xdr:pic>
    <xdr:clientData/>
  </xdr:twoCellAnchor>
  <xdr:twoCellAnchor editAs="oneCell">
    <xdr:from>
      <xdr:col>4</xdr:col>
      <xdr:colOff>552450</xdr:colOff>
      <xdr:row>8</xdr:row>
      <xdr:rowOff>76200</xdr:rowOff>
    </xdr:from>
    <xdr:to>
      <xdr:col>4</xdr:col>
      <xdr:colOff>1476375</xdr:colOff>
      <xdr:row>8</xdr:row>
      <xdr:rowOff>731687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59D8DE-91F8-7651-7209-A6274457C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7550" y="5610225"/>
          <a:ext cx="923925" cy="655487"/>
        </a:xfrm>
        <a:prstGeom prst="rect">
          <a:avLst/>
        </a:prstGeom>
      </xdr:spPr>
    </xdr:pic>
    <xdr:clientData/>
  </xdr:twoCellAnchor>
  <xdr:twoCellAnchor editAs="oneCell">
    <xdr:from>
      <xdr:col>4</xdr:col>
      <xdr:colOff>495300</xdr:colOff>
      <xdr:row>10</xdr:row>
      <xdr:rowOff>95250</xdr:rowOff>
    </xdr:from>
    <xdr:to>
      <xdr:col>4</xdr:col>
      <xdr:colOff>1485900</xdr:colOff>
      <xdr:row>10</xdr:row>
      <xdr:rowOff>693848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D79D79-61E6-1393-E2F7-D90EBD96F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10400" y="7534275"/>
          <a:ext cx="990600" cy="598598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476250</xdr:colOff>
      <xdr:row>12</xdr:row>
      <xdr:rowOff>104775</xdr:rowOff>
    </xdr:from>
    <xdr:to>
      <xdr:col>4</xdr:col>
      <xdr:colOff>1685925</xdr:colOff>
      <xdr:row>12</xdr:row>
      <xdr:rowOff>834420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C81382C-87CE-17CF-E62B-DAACECF4F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91350" y="9448800"/>
          <a:ext cx="1209675" cy="7296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476250</xdr:colOff>
      <xdr:row>3</xdr:row>
      <xdr:rowOff>57150</xdr:rowOff>
    </xdr:from>
    <xdr:to>
      <xdr:col>4</xdr:col>
      <xdr:colOff>1590675</xdr:colOff>
      <xdr:row>3</xdr:row>
      <xdr:rowOff>820362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CCBFEA-05CD-C64F-B343-1941270FD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350" y="828675"/>
          <a:ext cx="1114425" cy="763212"/>
        </a:xfrm>
        <a:prstGeom prst="rect">
          <a:avLst/>
        </a:prstGeom>
      </xdr:spPr>
    </xdr:pic>
    <xdr:clientData/>
  </xdr:twoCellAnchor>
  <xdr:twoCellAnchor editAs="oneCell">
    <xdr:from>
      <xdr:col>4</xdr:col>
      <xdr:colOff>466725</xdr:colOff>
      <xdr:row>9</xdr:row>
      <xdr:rowOff>66675</xdr:rowOff>
    </xdr:from>
    <xdr:to>
      <xdr:col>4</xdr:col>
      <xdr:colOff>1562100</xdr:colOff>
      <xdr:row>9</xdr:row>
      <xdr:rowOff>710690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1209CC2-02E1-3E1D-EE9A-769481551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81825" y="6553200"/>
          <a:ext cx="1095375" cy="6440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476250</xdr:colOff>
      <xdr:row>3</xdr:row>
      <xdr:rowOff>57150</xdr:rowOff>
    </xdr:from>
    <xdr:to>
      <xdr:col>4</xdr:col>
      <xdr:colOff>1590675</xdr:colOff>
      <xdr:row>3</xdr:row>
      <xdr:rowOff>820362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6B295-5EE3-4A6B-8BEC-C39D45378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350" y="828675"/>
          <a:ext cx="1114425" cy="763212"/>
        </a:xfrm>
        <a:prstGeom prst="rect">
          <a:avLst/>
        </a:prstGeom>
      </xdr:spPr>
    </xdr:pic>
    <xdr:clientData/>
  </xdr:twoCellAnchor>
  <xdr:twoCellAnchor editAs="oneCell">
    <xdr:from>
      <xdr:col>4</xdr:col>
      <xdr:colOff>466725</xdr:colOff>
      <xdr:row>9</xdr:row>
      <xdr:rowOff>66675</xdr:rowOff>
    </xdr:from>
    <xdr:to>
      <xdr:col>4</xdr:col>
      <xdr:colOff>1562100</xdr:colOff>
      <xdr:row>9</xdr:row>
      <xdr:rowOff>710690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7B702B-8118-489B-A4F7-7246DF34E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81825" y="6553200"/>
          <a:ext cx="1095375" cy="6440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352426</xdr:colOff>
      <xdr:row>3</xdr:row>
      <xdr:rowOff>76200</xdr:rowOff>
    </xdr:from>
    <xdr:to>
      <xdr:col>4</xdr:col>
      <xdr:colOff>1685926</xdr:colOff>
      <xdr:row>3</xdr:row>
      <xdr:rowOff>678839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FA13EC3-0458-9317-4978-30326737C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67526" y="847725"/>
          <a:ext cx="1333500" cy="602639"/>
        </a:xfrm>
        <a:prstGeom prst="rect">
          <a:avLst/>
        </a:prstGeom>
      </xdr:spPr>
    </xdr:pic>
    <xdr:clientData/>
  </xdr:twoCellAnchor>
  <xdr:twoCellAnchor editAs="oneCell">
    <xdr:from>
      <xdr:col>4</xdr:col>
      <xdr:colOff>514350</xdr:colOff>
      <xdr:row>4</xdr:row>
      <xdr:rowOff>57150</xdr:rowOff>
    </xdr:from>
    <xdr:to>
      <xdr:col>4</xdr:col>
      <xdr:colOff>1533525</xdr:colOff>
      <xdr:row>4</xdr:row>
      <xdr:rowOff>774347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D726EF-D1E2-290C-AFA0-E82BC7C5A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29450" y="1781175"/>
          <a:ext cx="1019175" cy="717197"/>
        </a:xfrm>
        <a:prstGeom prst="rect">
          <a:avLst/>
        </a:prstGeom>
      </xdr:spPr>
    </xdr:pic>
    <xdr:clientData/>
  </xdr:twoCellAnchor>
  <xdr:twoCellAnchor editAs="oneCell">
    <xdr:from>
      <xdr:col>4</xdr:col>
      <xdr:colOff>323850</xdr:colOff>
      <xdr:row>5</xdr:row>
      <xdr:rowOff>95251</xdr:rowOff>
    </xdr:from>
    <xdr:to>
      <xdr:col>4</xdr:col>
      <xdr:colOff>1699591</xdr:colOff>
      <xdr:row>5</xdr:row>
      <xdr:rowOff>723901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FBD005F-1014-40E1-2E44-021009199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38950" y="2771776"/>
          <a:ext cx="1375741" cy="628650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257176</xdr:colOff>
      <xdr:row>6</xdr:row>
      <xdr:rowOff>190500</xdr:rowOff>
    </xdr:from>
    <xdr:to>
      <xdr:col>4</xdr:col>
      <xdr:colOff>1839564</xdr:colOff>
      <xdr:row>6</xdr:row>
      <xdr:rowOff>581025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8A0AA22-06F7-D0F3-704E-23C56ADCB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72276" y="3819525"/>
          <a:ext cx="1582388" cy="390525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238125</xdr:colOff>
      <xdr:row>7</xdr:row>
      <xdr:rowOff>285750</xdr:rowOff>
    </xdr:from>
    <xdr:to>
      <xdr:col>4</xdr:col>
      <xdr:colOff>1807151</xdr:colOff>
      <xdr:row>7</xdr:row>
      <xdr:rowOff>476250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E6B8166-4DB8-829E-07C3-A5386DEA3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53225" y="4867275"/>
          <a:ext cx="1569026" cy="190500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200026</xdr:colOff>
      <xdr:row>8</xdr:row>
      <xdr:rowOff>209550</xdr:rowOff>
    </xdr:from>
    <xdr:to>
      <xdr:col>4</xdr:col>
      <xdr:colOff>1819276</xdr:colOff>
      <xdr:row>8</xdr:row>
      <xdr:rowOff>680197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4627089-4F18-DCAA-FF85-03BFDAA11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15126" y="5743575"/>
          <a:ext cx="1619250" cy="470647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257176</xdr:colOff>
      <xdr:row>9</xdr:row>
      <xdr:rowOff>161926</xdr:rowOff>
    </xdr:from>
    <xdr:to>
      <xdr:col>4</xdr:col>
      <xdr:colOff>1943100</xdr:colOff>
      <xdr:row>9</xdr:row>
      <xdr:rowOff>656464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1546F3A3-8828-A878-E5F4-E794A04B9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72276" y="6648451"/>
          <a:ext cx="1685924" cy="494538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10</xdr:row>
      <xdr:rowOff>114301</xdr:rowOff>
    </xdr:from>
    <xdr:to>
      <xdr:col>4</xdr:col>
      <xdr:colOff>1809750</xdr:colOff>
      <xdr:row>10</xdr:row>
      <xdr:rowOff>709387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2177E7A-7D17-15A9-BE35-28BF124D2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62750" y="7553326"/>
          <a:ext cx="1562100" cy="595086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11</xdr:row>
      <xdr:rowOff>142875</xdr:rowOff>
    </xdr:from>
    <xdr:to>
      <xdr:col>4</xdr:col>
      <xdr:colOff>1924050</xdr:colOff>
      <xdr:row>11</xdr:row>
      <xdr:rowOff>629294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6523227-D04B-7B9F-7C20-6B22CC909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72275" y="8534400"/>
          <a:ext cx="1666875" cy="486419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276225</xdr:colOff>
      <xdr:row>12</xdr:row>
      <xdr:rowOff>57150</xdr:rowOff>
    </xdr:from>
    <xdr:to>
      <xdr:col>4</xdr:col>
      <xdr:colOff>1790700</xdr:colOff>
      <xdr:row>12</xdr:row>
      <xdr:rowOff>679925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B33382C5-6E5B-E26C-FA46-FBE510633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91325" y="9401175"/>
          <a:ext cx="1514475" cy="622775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13</xdr:row>
      <xdr:rowOff>171451</xdr:rowOff>
    </xdr:from>
    <xdr:to>
      <xdr:col>4</xdr:col>
      <xdr:colOff>1781175</xdr:colOff>
      <xdr:row>13</xdr:row>
      <xdr:rowOff>611431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172663E2-C11F-45B6-56C8-CD20F1F7C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743700" y="10467976"/>
          <a:ext cx="1552575" cy="439980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209551</xdr:colOff>
      <xdr:row>14</xdr:row>
      <xdr:rowOff>104775</xdr:rowOff>
    </xdr:from>
    <xdr:to>
      <xdr:col>4</xdr:col>
      <xdr:colOff>1867587</xdr:colOff>
      <xdr:row>14</xdr:row>
      <xdr:rowOff>628650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89ED37E2-B40B-A271-2813-3E9A87342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724651" y="11353800"/>
          <a:ext cx="1658036" cy="523875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152401</xdr:colOff>
      <xdr:row>15</xdr:row>
      <xdr:rowOff>200025</xdr:rowOff>
    </xdr:from>
    <xdr:to>
      <xdr:col>4</xdr:col>
      <xdr:colOff>1962151</xdr:colOff>
      <xdr:row>15</xdr:row>
      <xdr:rowOff>639285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4A2888DC-2CB6-E5CE-C326-FCCA211E0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667501" y="12401550"/>
          <a:ext cx="1809750" cy="43926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285751</xdr:colOff>
      <xdr:row>16</xdr:row>
      <xdr:rowOff>85725</xdr:rowOff>
    </xdr:from>
    <xdr:to>
      <xdr:col>4</xdr:col>
      <xdr:colOff>1828801</xdr:colOff>
      <xdr:row>16</xdr:row>
      <xdr:rowOff>743790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E8650816-EFCA-DAF9-D1B5-9BA3599E1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800851" y="13239750"/>
          <a:ext cx="1543050" cy="658065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</xdr:colOff>
      <xdr:row>17</xdr:row>
      <xdr:rowOff>133350</xdr:rowOff>
    </xdr:from>
    <xdr:to>
      <xdr:col>4</xdr:col>
      <xdr:colOff>1895475</xdr:colOff>
      <xdr:row>17</xdr:row>
      <xdr:rowOff>654074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3628EE21-942D-1DF0-1F0C-D0409957E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781800" y="14239875"/>
          <a:ext cx="1628775" cy="520724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238126</xdr:colOff>
      <xdr:row>18</xdr:row>
      <xdr:rowOff>238125</xdr:rowOff>
    </xdr:from>
    <xdr:to>
      <xdr:col>4</xdr:col>
      <xdr:colOff>1857376</xdr:colOff>
      <xdr:row>18</xdr:row>
      <xdr:rowOff>520650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13EE5414-0E30-C1D0-975B-3593114AB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753226" y="15297150"/>
          <a:ext cx="1619250" cy="282525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19</xdr:row>
      <xdr:rowOff>209550</xdr:rowOff>
    </xdr:from>
    <xdr:to>
      <xdr:col>4</xdr:col>
      <xdr:colOff>1847850</xdr:colOff>
      <xdr:row>19</xdr:row>
      <xdr:rowOff>546735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271B7672-65C7-88AF-CFA9-A6EEB4910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77025" y="16221075"/>
          <a:ext cx="1685925" cy="337185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142876</xdr:colOff>
      <xdr:row>20</xdr:row>
      <xdr:rowOff>190500</xdr:rowOff>
    </xdr:from>
    <xdr:to>
      <xdr:col>4</xdr:col>
      <xdr:colOff>1971676</xdr:colOff>
      <xdr:row>20</xdr:row>
      <xdr:rowOff>544105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1F168A68-C9A7-308C-AE03-EB50C96D0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657976" y="17154525"/>
          <a:ext cx="1828800" cy="353605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</xdr:colOff>
      <xdr:row>21</xdr:row>
      <xdr:rowOff>114300</xdr:rowOff>
    </xdr:from>
    <xdr:to>
      <xdr:col>4</xdr:col>
      <xdr:colOff>1752600</xdr:colOff>
      <xdr:row>21</xdr:row>
      <xdr:rowOff>649661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B97C7802-2912-E80F-0ABA-6380032A9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781800" y="18030825"/>
          <a:ext cx="1485900" cy="535361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114301</xdr:colOff>
      <xdr:row>22</xdr:row>
      <xdr:rowOff>76200</xdr:rowOff>
    </xdr:from>
    <xdr:to>
      <xdr:col>4</xdr:col>
      <xdr:colOff>2000251</xdr:colOff>
      <xdr:row>22</xdr:row>
      <xdr:rowOff>592167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AE322C-7E6F-AC2B-83BD-305F5C355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629401" y="18945225"/>
          <a:ext cx="1885950" cy="515967"/>
        </a:xfrm>
        <a:prstGeom prst="rect">
          <a:avLst/>
        </a:prstGeom>
      </xdr:spPr>
    </xdr:pic>
    <xdr:clientData/>
  </xdr:twoCellAnchor>
  <xdr:twoCellAnchor editAs="oneCell">
    <xdr:from>
      <xdr:col>4</xdr:col>
      <xdr:colOff>619125</xdr:colOff>
      <xdr:row>23</xdr:row>
      <xdr:rowOff>123826</xdr:rowOff>
    </xdr:from>
    <xdr:to>
      <xdr:col>4</xdr:col>
      <xdr:colOff>1200150</xdr:colOff>
      <xdr:row>23</xdr:row>
      <xdr:rowOff>868594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DC641E-658B-BBAB-10A9-4F1AB0451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134225" y="19945351"/>
          <a:ext cx="581025" cy="744768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133351</xdr:colOff>
      <xdr:row>24</xdr:row>
      <xdr:rowOff>180975</xdr:rowOff>
    </xdr:from>
    <xdr:to>
      <xdr:col>4</xdr:col>
      <xdr:colOff>1885951</xdr:colOff>
      <xdr:row>24</xdr:row>
      <xdr:rowOff>568784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78CEE-1B42-F515-A7FC-0C9D2FE1D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648451" y="20955000"/>
          <a:ext cx="1752600" cy="387809"/>
        </a:xfrm>
        <a:prstGeom prst="rect">
          <a:avLst/>
        </a:prstGeom>
      </xdr:spPr>
    </xdr:pic>
    <xdr:clientData/>
  </xdr:twoCellAnchor>
  <xdr:twoCellAnchor editAs="oneCell">
    <xdr:from>
      <xdr:col>4</xdr:col>
      <xdr:colOff>685800</xdr:colOff>
      <xdr:row>25</xdr:row>
      <xdr:rowOff>95250</xdr:rowOff>
    </xdr:from>
    <xdr:to>
      <xdr:col>4</xdr:col>
      <xdr:colOff>1371600</xdr:colOff>
      <xdr:row>25</xdr:row>
      <xdr:rowOff>759618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4564F74-4E8B-5C8E-F8A0-63288751E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200900" y="21821775"/>
          <a:ext cx="685800" cy="664368"/>
        </a:xfrm>
        <a:prstGeom prst="rect">
          <a:avLst/>
        </a:prstGeom>
      </xdr:spPr>
    </xdr:pic>
    <xdr:clientData/>
  </xdr:twoCellAnchor>
  <xdr:twoCellAnchor editAs="oneCell">
    <xdr:from>
      <xdr:col>4</xdr:col>
      <xdr:colOff>561975</xdr:colOff>
      <xdr:row>26</xdr:row>
      <xdr:rowOff>47625</xdr:rowOff>
    </xdr:from>
    <xdr:to>
      <xdr:col>4</xdr:col>
      <xdr:colOff>1447800</xdr:colOff>
      <xdr:row>26</xdr:row>
      <xdr:rowOff>617874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FCA567D-9A8C-10D3-DB0F-7A11CDDDD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077075" y="22726650"/>
          <a:ext cx="885825" cy="570249"/>
        </a:xfrm>
        <a:prstGeom prst="rect">
          <a:avLst/>
        </a:prstGeom>
      </xdr:spPr>
    </xdr:pic>
    <xdr:clientData/>
  </xdr:twoCellAnchor>
  <xdr:twoCellAnchor editAs="oneCell">
    <xdr:from>
      <xdr:col>4</xdr:col>
      <xdr:colOff>361951</xdr:colOff>
      <xdr:row>27</xdr:row>
      <xdr:rowOff>266700</xdr:rowOff>
    </xdr:from>
    <xdr:to>
      <xdr:col>4</xdr:col>
      <xdr:colOff>1790701</xdr:colOff>
      <xdr:row>27</xdr:row>
      <xdr:rowOff>594042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3E99C26-5A5A-7873-2DF5-6E67DA33A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877051" y="23898225"/>
          <a:ext cx="1428750" cy="32734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95251</xdr:colOff>
      <xdr:row>3</xdr:row>
      <xdr:rowOff>85725</xdr:rowOff>
    </xdr:from>
    <xdr:to>
      <xdr:col>4</xdr:col>
      <xdr:colOff>1828801</xdr:colOff>
      <xdr:row>3</xdr:row>
      <xdr:rowOff>561053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5DDF6B3-B5DB-0DC3-1C57-01A30A97A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0351" y="857250"/>
          <a:ext cx="1733550" cy="475328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285750</xdr:colOff>
      <xdr:row>7</xdr:row>
      <xdr:rowOff>104776</xdr:rowOff>
    </xdr:from>
    <xdr:to>
      <xdr:col>4</xdr:col>
      <xdr:colOff>1647825</xdr:colOff>
      <xdr:row>7</xdr:row>
      <xdr:rowOff>695232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1B5E44F-947C-6488-B0AD-6E397480E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0850" y="4686301"/>
          <a:ext cx="1362075" cy="590456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8</xdr:row>
      <xdr:rowOff>47625</xdr:rowOff>
    </xdr:from>
    <xdr:to>
      <xdr:col>4</xdr:col>
      <xdr:colOff>1628775</xdr:colOff>
      <xdr:row>8</xdr:row>
      <xdr:rowOff>700227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22B5087-E97B-5D29-8943-237CD1C86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96100" y="5581650"/>
          <a:ext cx="1247775" cy="652602"/>
        </a:xfrm>
        <a:prstGeom prst="rect">
          <a:avLst/>
        </a:prstGeom>
      </xdr:spPr>
    </xdr:pic>
    <xdr:clientData/>
  </xdr:twoCellAnchor>
  <xdr:twoCellAnchor editAs="oneCell">
    <xdr:from>
      <xdr:col>4</xdr:col>
      <xdr:colOff>619125</xdr:colOff>
      <xdr:row>9</xdr:row>
      <xdr:rowOff>47625</xdr:rowOff>
    </xdr:from>
    <xdr:to>
      <xdr:col>4</xdr:col>
      <xdr:colOff>1362075</xdr:colOff>
      <xdr:row>9</xdr:row>
      <xdr:rowOff>765644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695F415-048D-8C1F-BC4E-A86031757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34225" y="6534150"/>
          <a:ext cx="742950" cy="71801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666751</xdr:colOff>
      <xdr:row>14</xdr:row>
      <xdr:rowOff>47626</xdr:rowOff>
    </xdr:from>
    <xdr:to>
      <xdr:col>4</xdr:col>
      <xdr:colOff>1390651</xdr:colOff>
      <xdr:row>14</xdr:row>
      <xdr:rowOff>771526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463BBE-2A37-8B00-F759-71821DDF1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1" y="11296651"/>
          <a:ext cx="72390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657225</xdr:colOff>
      <xdr:row>15</xdr:row>
      <xdr:rowOff>47625</xdr:rowOff>
    </xdr:from>
    <xdr:to>
      <xdr:col>4</xdr:col>
      <xdr:colOff>1409700</xdr:colOff>
      <xdr:row>15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4B3E8E-A4A9-8297-16FF-18B664182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2325" y="12249150"/>
          <a:ext cx="752475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95250</xdr:colOff>
      <xdr:row>16</xdr:row>
      <xdr:rowOff>209551</xdr:rowOff>
    </xdr:from>
    <xdr:to>
      <xdr:col>4</xdr:col>
      <xdr:colOff>1977838</xdr:colOff>
      <xdr:row>16</xdr:row>
      <xdr:rowOff>590551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B56E3C-8CE6-185D-FDDF-655F685B3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10350" y="13363576"/>
          <a:ext cx="1882588" cy="381000"/>
        </a:xfrm>
        <a:prstGeom prst="rect">
          <a:avLst/>
        </a:prstGeom>
      </xdr:spPr>
    </xdr:pic>
    <xdr:clientData/>
  </xdr:twoCellAnchor>
  <xdr:twoCellAnchor editAs="oneCell">
    <xdr:from>
      <xdr:col>4</xdr:col>
      <xdr:colOff>219076</xdr:colOff>
      <xdr:row>17</xdr:row>
      <xdr:rowOff>142875</xdr:rowOff>
    </xdr:from>
    <xdr:to>
      <xdr:col>4</xdr:col>
      <xdr:colOff>1743076</xdr:colOff>
      <xdr:row>17</xdr:row>
      <xdr:rowOff>646533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BAE938-1C5B-5931-3513-5C4916C51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34176" y="14249400"/>
          <a:ext cx="1524000" cy="503658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228601</xdr:colOff>
      <xdr:row>18</xdr:row>
      <xdr:rowOff>76201</xdr:rowOff>
    </xdr:from>
    <xdr:to>
      <xdr:col>4</xdr:col>
      <xdr:colOff>1828801</xdr:colOff>
      <xdr:row>18</xdr:row>
      <xdr:rowOff>762001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32220B-C736-2B3B-9524-12ACF31EF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43701" y="15135226"/>
          <a:ext cx="1600200" cy="685800"/>
        </a:xfrm>
        <a:prstGeom prst="rect">
          <a:avLst/>
        </a:prstGeom>
      </xdr:spPr>
    </xdr:pic>
    <xdr:clientData/>
  </xdr:twoCellAnchor>
  <xdr:twoCellAnchor editAs="oneCell">
    <xdr:from>
      <xdr:col>4</xdr:col>
      <xdr:colOff>542926</xdr:colOff>
      <xdr:row>21</xdr:row>
      <xdr:rowOff>95250</xdr:rowOff>
    </xdr:from>
    <xdr:to>
      <xdr:col>4</xdr:col>
      <xdr:colOff>1352550</xdr:colOff>
      <xdr:row>21</xdr:row>
      <xdr:rowOff>815439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051C387-99A5-F7B9-D831-A0D660A78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58026" y="18011775"/>
          <a:ext cx="809624" cy="720189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22</xdr:row>
      <xdr:rowOff>133350</xdr:rowOff>
    </xdr:from>
    <xdr:to>
      <xdr:col>4</xdr:col>
      <xdr:colOff>1895475</xdr:colOff>
      <xdr:row>22</xdr:row>
      <xdr:rowOff>700222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ECB8DBA-270F-6644-08C5-7FFCC8F84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43700" y="19002375"/>
          <a:ext cx="1666875" cy="566872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27</xdr:row>
      <xdr:rowOff>142876</xdr:rowOff>
    </xdr:from>
    <xdr:to>
      <xdr:col>4</xdr:col>
      <xdr:colOff>1485900</xdr:colOff>
      <xdr:row>27</xdr:row>
      <xdr:rowOff>711504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E947565-35A4-54A2-DCBD-854B44F46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72300" y="23774401"/>
          <a:ext cx="1028700" cy="568628"/>
        </a:xfrm>
        <a:prstGeom prst="rect">
          <a:avLst/>
        </a:prstGeom>
      </xdr:spPr>
    </xdr:pic>
    <xdr:clientData/>
  </xdr:twoCellAnchor>
  <xdr:twoCellAnchor editAs="oneCell">
    <xdr:from>
      <xdr:col>4</xdr:col>
      <xdr:colOff>590550</xdr:colOff>
      <xdr:row>28</xdr:row>
      <xdr:rowOff>57151</xdr:rowOff>
    </xdr:from>
    <xdr:to>
      <xdr:col>4</xdr:col>
      <xdr:colOff>1412463</xdr:colOff>
      <xdr:row>28</xdr:row>
      <xdr:rowOff>742951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49A75F-3B12-D0DD-7CD9-72C91905F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105650" y="24641176"/>
          <a:ext cx="821913" cy="685800"/>
        </a:xfrm>
        <a:prstGeom prst="rect">
          <a:avLst/>
        </a:prstGeom>
      </xdr:spPr>
    </xdr:pic>
    <xdr:clientData/>
  </xdr:twoCellAnchor>
  <xdr:twoCellAnchor editAs="oneCell">
    <xdr:from>
      <xdr:col>4</xdr:col>
      <xdr:colOff>523875</xdr:colOff>
      <xdr:row>31</xdr:row>
      <xdr:rowOff>66675</xdr:rowOff>
    </xdr:from>
    <xdr:to>
      <xdr:col>4</xdr:col>
      <xdr:colOff>1533525</xdr:colOff>
      <xdr:row>31</xdr:row>
      <xdr:rowOff>611486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435D2FB-560C-EC3C-BB5A-2A97FC75A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038975" y="27508200"/>
          <a:ext cx="1009650" cy="5448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600075</xdr:colOff>
      <xdr:row>3</xdr:row>
      <xdr:rowOff>114300</xdr:rowOff>
    </xdr:from>
    <xdr:to>
      <xdr:col>4</xdr:col>
      <xdr:colOff>1352550</xdr:colOff>
      <xdr:row>3</xdr:row>
      <xdr:rowOff>810056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0A6929-DE71-41E2-A074-51E40D826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885825"/>
          <a:ext cx="752475" cy="695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666750</xdr:colOff>
      <xdr:row>3</xdr:row>
      <xdr:rowOff>38100</xdr:rowOff>
    </xdr:from>
    <xdr:to>
      <xdr:col>4</xdr:col>
      <xdr:colOff>1381125</xdr:colOff>
      <xdr:row>3</xdr:row>
      <xdr:rowOff>732992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1D78E4-7A4F-865D-478F-5FCC19A6C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1850" y="809625"/>
          <a:ext cx="714375" cy="694892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609600</xdr:colOff>
      <xdr:row>4</xdr:row>
      <xdr:rowOff>85725</xdr:rowOff>
    </xdr:from>
    <xdr:to>
      <xdr:col>4</xdr:col>
      <xdr:colOff>1402621</xdr:colOff>
      <xdr:row>4</xdr:row>
      <xdr:rowOff>666750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1ABC82-C486-0EA4-F35D-37805B6AB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24700" y="1809750"/>
          <a:ext cx="793021" cy="5810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676275</xdr:colOff>
      <xdr:row>3</xdr:row>
      <xdr:rowOff>28575</xdr:rowOff>
    </xdr:from>
    <xdr:to>
      <xdr:col>4</xdr:col>
      <xdr:colOff>1371600</xdr:colOff>
      <xdr:row>3</xdr:row>
      <xdr:rowOff>723900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C9D19A-4519-2742-4E69-FB8401480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800100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561976</xdr:colOff>
      <xdr:row>4</xdr:row>
      <xdr:rowOff>28575</xdr:rowOff>
    </xdr:from>
    <xdr:to>
      <xdr:col>4</xdr:col>
      <xdr:colOff>1590676</xdr:colOff>
      <xdr:row>4</xdr:row>
      <xdr:rowOff>752284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50728D5-60C1-AE79-875B-D418EBBDC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6" y="1752600"/>
          <a:ext cx="1028700" cy="7237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476250</xdr:colOff>
      <xdr:row>5</xdr:row>
      <xdr:rowOff>142875</xdr:rowOff>
    </xdr:from>
    <xdr:to>
      <xdr:col>4</xdr:col>
      <xdr:colOff>1632027</xdr:colOff>
      <xdr:row>5</xdr:row>
      <xdr:rowOff>619125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3C60211-4074-2C1E-E049-CE1651763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2819400"/>
          <a:ext cx="1155777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266700</xdr:colOff>
      <xdr:row>8</xdr:row>
      <xdr:rowOff>142875</xdr:rowOff>
    </xdr:from>
    <xdr:to>
      <xdr:col>4</xdr:col>
      <xdr:colOff>1800225</xdr:colOff>
      <xdr:row>8</xdr:row>
      <xdr:rowOff>685604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48BA98-698C-D48D-90B1-4F5A6E982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81800" y="4724400"/>
          <a:ext cx="1533525" cy="54272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5</xdr:row>
      <xdr:rowOff>57151</xdr:rowOff>
    </xdr:from>
    <xdr:to>
      <xdr:col>4</xdr:col>
      <xdr:colOff>1628775</xdr:colOff>
      <xdr:row>5</xdr:row>
      <xdr:rowOff>809125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4A92DC-6613-FF6D-B435-7E15ACC09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0" y="2733676"/>
          <a:ext cx="1190625" cy="751974"/>
        </a:xfrm>
        <a:prstGeom prst="rect">
          <a:avLst/>
        </a:prstGeom>
      </xdr:spPr>
    </xdr:pic>
    <xdr:clientData/>
  </xdr:twoCellAnchor>
  <xdr:twoCellAnchor editAs="oneCell">
    <xdr:from>
      <xdr:col>4</xdr:col>
      <xdr:colOff>533400</xdr:colOff>
      <xdr:row>7</xdr:row>
      <xdr:rowOff>38100</xdr:rowOff>
    </xdr:from>
    <xdr:to>
      <xdr:col>4</xdr:col>
      <xdr:colOff>1462591</xdr:colOff>
      <xdr:row>7</xdr:row>
      <xdr:rowOff>714375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A98213-390E-6254-8E4D-3FA603E72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0" y="4619625"/>
          <a:ext cx="929191" cy="676275"/>
        </a:xfrm>
        <a:prstGeom prst="rect">
          <a:avLst/>
        </a:prstGeom>
      </xdr:spPr>
    </xdr:pic>
    <xdr:clientData/>
  </xdr:twoCellAnchor>
  <xdr:twoCellAnchor editAs="oneCell">
    <xdr:from>
      <xdr:col>4</xdr:col>
      <xdr:colOff>438150</xdr:colOff>
      <xdr:row>8</xdr:row>
      <xdr:rowOff>114301</xdr:rowOff>
    </xdr:from>
    <xdr:to>
      <xdr:col>4</xdr:col>
      <xdr:colOff>1571625</xdr:colOff>
      <xdr:row>8</xdr:row>
      <xdr:rowOff>678219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92FCE86-601A-A626-9B62-8EA9416D3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0" y="5648326"/>
          <a:ext cx="1133475" cy="563918"/>
        </a:xfrm>
        <a:prstGeom prst="rect">
          <a:avLst/>
        </a:prstGeom>
      </xdr:spPr>
    </xdr:pic>
    <xdr:clientData/>
  </xdr:twoCellAnchor>
  <xdr:twoCellAnchor editAs="oneCell">
    <xdr:from>
      <xdr:col>4</xdr:col>
      <xdr:colOff>523876</xdr:colOff>
      <xdr:row>9</xdr:row>
      <xdr:rowOff>38100</xdr:rowOff>
    </xdr:from>
    <xdr:to>
      <xdr:col>4</xdr:col>
      <xdr:colOff>1621048</xdr:colOff>
      <xdr:row>9</xdr:row>
      <xdr:rowOff>666750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CE2A31-4DAA-6B65-F472-B813A359E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38976" y="6524625"/>
          <a:ext cx="1097172" cy="628650"/>
        </a:xfrm>
        <a:prstGeom prst="rect">
          <a:avLst/>
        </a:prstGeom>
      </xdr:spPr>
    </xdr:pic>
    <xdr:clientData/>
  </xdr:twoCellAnchor>
  <xdr:twoCellAnchor editAs="oneCell">
    <xdr:from>
      <xdr:col>4</xdr:col>
      <xdr:colOff>295276</xdr:colOff>
      <xdr:row>10</xdr:row>
      <xdr:rowOff>66675</xdr:rowOff>
    </xdr:from>
    <xdr:to>
      <xdr:col>4</xdr:col>
      <xdr:colOff>1847949</xdr:colOff>
      <xdr:row>10</xdr:row>
      <xdr:rowOff>704850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CE3EA31-5CBE-B50C-F5A6-912939842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10376" y="7505700"/>
          <a:ext cx="1552673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6D6DB-61DC-48CE-9753-61716AF002FF}">
  <dimension ref="A1:L14"/>
  <sheetViews>
    <sheetView topLeftCell="A10" zoomScaleNormal="100" workbookViewId="0">
      <selection activeCell="B13" sqref="B13"/>
    </sheetView>
  </sheetViews>
  <sheetFormatPr defaultRowHeight="15" x14ac:dyDescent="0.25"/>
  <cols>
    <col min="1" max="1" width="9.140625" style="2"/>
    <col min="2" max="2" width="30.7109375" style="2" customWidth="1"/>
    <col min="3" max="3" width="38.7109375" style="2" bestFit="1" customWidth="1"/>
    <col min="4" max="4" width="19.140625" style="2" bestFit="1" customWidth="1"/>
    <col min="5" max="5" width="30.7109375" style="2" customWidth="1"/>
    <col min="6" max="6" width="21.85546875" style="2" customWidth="1"/>
    <col min="7" max="7" width="20.42578125" style="2" bestFit="1" customWidth="1"/>
    <col min="8" max="8" width="11.140625" style="2" bestFit="1" customWidth="1"/>
    <col min="9" max="9" width="16.7109375" style="2" bestFit="1" customWidth="1"/>
    <col min="10" max="10" width="16.7109375" style="2" customWidth="1"/>
    <col min="11" max="11" width="17.5703125" style="2" bestFit="1" customWidth="1"/>
    <col min="12" max="12" width="17.7109375" style="2" bestFit="1" customWidth="1"/>
    <col min="13" max="16384" width="9.140625" style="2"/>
  </cols>
  <sheetData>
    <row r="1" spans="1:12" ht="2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1"/>
    </row>
    <row r="2" spans="1:12" ht="21" x14ac:dyDescent="0.35">
      <c r="A2" s="1"/>
      <c r="B2" s="1"/>
      <c r="C2" s="1"/>
      <c r="D2" s="1"/>
      <c r="E2" s="1"/>
      <c r="F2" s="1"/>
      <c r="G2" s="1"/>
      <c r="H2" s="1"/>
      <c r="K2" s="3">
        <v>46146</v>
      </c>
    </row>
    <row r="3" spans="1:12" ht="18.7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75" customHeight="1" x14ac:dyDescent="0.5">
      <c r="A4" s="6">
        <v>1</v>
      </c>
      <c r="B4" s="7" t="s">
        <v>14</v>
      </c>
      <c r="C4" s="7" t="s">
        <v>15</v>
      </c>
      <c r="D4" s="15" t="s">
        <v>16</v>
      </c>
      <c r="E4" s="16" t="s">
        <v>17</v>
      </c>
      <c r="F4" s="8">
        <v>29</v>
      </c>
      <c r="G4" s="9">
        <v>1</v>
      </c>
      <c r="H4" s="10">
        <v>150000</v>
      </c>
      <c r="I4" s="10">
        <f t="shared" ref="I4" si="0">G4*H4+1000</f>
        <v>151000</v>
      </c>
      <c r="J4" s="11">
        <v>46146</v>
      </c>
      <c r="K4" s="12" t="s">
        <v>18</v>
      </c>
      <c r="L4" s="17"/>
    </row>
    <row r="5" spans="1:12" ht="75" customHeight="1" x14ac:dyDescent="0.25">
      <c r="A5" s="6">
        <v>2</v>
      </c>
      <c r="B5" s="7" t="s">
        <v>19</v>
      </c>
      <c r="C5" s="7" t="s">
        <v>20</v>
      </c>
      <c r="D5" s="15" t="s">
        <v>21</v>
      </c>
      <c r="E5" s="18" t="s">
        <v>22</v>
      </c>
      <c r="F5" s="8">
        <v>3</v>
      </c>
      <c r="G5" s="9">
        <v>1</v>
      </c>
      <c r="H5" s="10">
        <v>150000</v>
      </c>
      <c r="I5" s="10">
        <f t="shared" ref="I5:I8" si="1">G5*H5+1000</f>
        <v>151000</v>
      </c>
      <c r="J5" s="11">
        <v>46146</v>
      </c>
      <c r="K5" s="12" t="s">
        <v>18</v>
      </c>
      <c r="L5" s="17"/>
    </row>
    <row r="6" spans="1:12" ht="75" customHeight="1" x14ac:dyDescent="0.25">
      <c r="A6" s="6">
        <v>3</v>
      </c>
      <c r="B6" s="7" t="s">
        <v>19</v>
      </c>
      <c r="C6" s="7" t="s">
        <v>20</v>
      </c>
      <c r="D6" s="15" t="s">
        <v>23</v>
      </c>
      <c r="E6" s="18" t="s">
        <v>24</v>
      </c>
      <c r="F6" s="8">
        <v>3</v>
      </c>
      <c r="G6" s="9">
        <v>1</v>
      </c>
      <c r="H6" s="10">
        <v>150000</v>
      </c>
      <c r="I6" s="10">
        <f t="shared" si="1"/>
        <v>151000</v>
      </c>
      <c r="J6" s="11">
        <v>46146</v>
      </c>
      <c r="K6" s="12" t="s">
        <v>18</v>
      </c>
      <c r="L6" s="17"/>
    </row>
    <row r="7" spans="1:12" ht="75" customHeight="1" x14ac:dyDescent="0.25">
      <c r="A7" s="6">
        <v>4</v>
      </c>
      <c r="B7" s="7" t="s">
        <v>19</v>
      </c>
      <c r="C7" s="7" t="s">
        <v>20</v>
      </c>
      <c r="D7" s="15" t="s">
        <v>25</v>
      </c>
      <c r="E7" s="18" t="s">
        <v>26</v>
      </c>
      <c r="F7" s="8">
        <v>3</v>
      </c>
      <c r="G7" s="9">
        <v>1</v>
      </c>
      <c r="H7" s="10">
        <v>150000</v>
      </c>
      <c r="I7" s="10">
        <f t="shared" si="1"/>
        <v>151000</v>
      </c>
      <c r="J7" s="11">
        <v>46146</v>
      </c>
      <c r="K7" s="12" t="s">
        <v>18</v>
      </c>
      <c r="L7" s="17"/>
    </row>
    <row r="8" spans="1:12" ht="75" customHeight="1" x14ac:dyDescent="0.25">
      <c r="A8" s="6">
        <v>5</v>
      </c>
      <c r="B8" s="7" t="s">
        <v>27</v>
      </c>
      <c r="C8" s="7" t="s">
        <v>28</v>
      </c>
      <c r="D8" s="15" t="s">
        <v>29</v>
      </c>
      <c r="E8" s="18" t="s">
        <v>30</v>
      </c>
      <c r="F8" s="8">
        <v>3</v>
      </c>
      <c r="G8" s="9">
        <v>1</v>
      </c>
      <c r="H8" s="10">
        <v>150000</v>
      </c>
      <c r="I8" s="10">
        <f t="shared" si="1"/>
        <v>151000</v>
      </c>
      <c r="J8" s="11">
        <v>46146</v>
      </c>
      <c r="K8" s="12" t="s">
        <v>12</v>
      </c>
      <c r="L8" s="17" t="s">
        <v>13</v>
      </c>
    </row>
    <row r="9" spans="1:12" ht="75" customHeight="1" x14ac:dyDescent="0.5">
      <c r="A9" s="6">
        <v>6</v>
      </c>
      <c r="B9" s="7" t="s">
        <v>27</v>
      </c>
      <c r="C9" s="7" t="s">
        <v>31</v>
      </c>
      <c r="D9" s="15" t="s">
        <v>32</v>
      </c>
      <c r="E9" s="16" t="s">
        <v>33</v>
      </c>
      <c r="F9" s="8" t="s">
        <v>34</v>
      </c>
      <c r="G9" s="9">
        <v>3</v>
      </c>
      <c r="H9" s="10">
        <v>150000</v>
      </c>
      <c r="I9" s="10">
        <f t="shared" ref="I9:I13" si="2">G9*H9+1000</f>
        <v>451000</v>
      </c>
      <c r="J9" s="11">
        <v>46146</v>
      </c>
      <c r="K9" s="12" t="s">
        <v>12</v>
      </c>
      <c r="L9" s="17" t="s">
        <v>13</v>
      </c>
    </row>
    <row r="10" spans="1:12" ht="75" customHeight="1" x14ac:dyDescent="0.25">
      <c r="A10" s="6">
        <v>7</v>
      </c>
      <c r="B10" s="7" t="s">
        <v>27</v>
      </c>
      <c r="C10" s="7" t="s">
        <v>31</v>
      </c>
      <c r="D10" s="15" t="s">
        <v>35</v>
      </c>
      <c r="E10" s="18" t="s">
        <v>36</v>
      </c>
      <c r="F10" s="8" t="s">
        <v>34</v>
      </c>
      <c r="G10" s="9">
        <v>3</v>
      </c>
      <c r="H10" s="10">
        <v>150000</v>
      </c>
      <c r="I10" s="10">
        <f t="shared" si="2"/>
        <v>451000</v>
      </c>
      <c r="J10" s="11">
        <v>46146</v>
      </c>
      <c r="K10" s="12" t="s">
        <v>12</v>
      </c>
      <c r="L10" s="17" t="s">
        <v>13</v>
      </c>
    </row>
    <row r="11" spans="1:12" ht="75" customHeight="1" x14ac:dyDescent="0.5">
      <c r="A11" s="6">
        <v>8</v>
      </c>
      <c r="B11" s="7" t="s">
        <v>37</v>
      </c>
      <c r="C11" s="7" t="s">
        <v>38</v>
      </c>
      <c r="D11" s="15" t="s">
        <v>39</v>
      </c>
      <c r="E11" s="16" t="s">
        <v>40</v>
      </c>
      <c r="F11" s="8">
        <v>11</v>
      </c>
      <c r="G11" s="9">
        <v>1</v>
      </c>
      <c r="H11" s="10">
        <v>150000</v>
      </c>
      <c r="I11" s="10">
        <f t="shared" si="2"/>
        <v>151000</v>
      </c>
      <c r="J11" s="11">
        <v>46146</v>
      </c>
      <c r="K11" s="12" t="s">
        <v>12</v>
      </c>
      <c r="L11" s="17" t="s">
        <v>13</v>
      </c>
    </row>
    <row r="12" spans="1:12" ht="75" customHeight="1" x14ac:dyDescent="0.25">
      <c r="A12" s="6">
        <v>9</v>
      </c>
      <c r="B12" s="7" t="s">
        <v>41</v>
      </c>
      <c r="C12" s="7" t="s">
        <v>42</v>
      </c>
      <c r="D12" s="15" t="s">
        <v>43</v>
      </c>
      <c r="E12" s="18" t="s">
        <v>44</v>
      </c>
      <c r="F12" s="8">
        <v>5</v>
      </c>
      <c r="G12" s="9">
        <v>1</v>
      </c>
      <c r="H12" s="10">
        <v>150000</v>
      </c>
      <c r="I12" s="10">
        <f t="shared" si="2"/>
        <v>151000</v>
      </c>
      <c r="J12" s="11">
        <v>46146</v>
      </c>
      <c r="K12" s="12" t="s">
        <v>12</v>
      </c>
      <c r="L12" s="17" t="s">
        <v>13</v>
      </c>
    </row>
    <row r="13" spans="1:12" ht="75" customHeight="1" x14ac:dyDescent="0.5">
      <c r="A13" s="6">
        <v>10</v>
      </c>
      <c r="B13" s="7" t="s">
        <v>45</v>
      </c>
      <c r="C13" s="7" t="s">
        <v>46</v>
      </c>
      <c r="D13" s="15" t="s">
        <v>47</v>
      </c>
      <c r="E13" s="16" t="s">
        <v>48</v>
      </c>
      <c r="F13" s="8">
        <v>30</v>
      </c>
      <c r="G13" s="9">
        <v>1</v>
      </c>
      <c r="H13" s="10">
        <v>150000</v>
      </c>
      <c r="I13" s="10">
        <f t="shared" si="2"/>
        <v>151000</v>
      </c>
      <c r="J13" s="11">
        <v>46146</v>
      </c>
      <c r="K13" s="12" t="s">
        <v>12</v>
      </c>
      <c r="L13" s="17" t="s">
        <v>13</v>
      </c>
    </row>
    <row r="14" spans="1:12" ht="75" customHeight="1" x14ac:dyDescent="0.25">
      <c r="A14" s="30" t="s">
        <v>9</v>
      </c>
      <c r="B14" s="31"/>
      <c r="C14" s="31"/>
      <c r="D14" s="31"/>
      <c r="E14" s="31"/>
      <c r="F14" s="31"/>
      <c r="G14" s="31"/>
      <c r="H14" s="32"/>
      <c r="I14" s="13">
        <f>SUM(I4:I13)</f>
        <v>2110000</v>
      </c>
      <c r="J14" s="14"/>
    </row>
  </sheetData>
  <mergeCells count="2">
    <mergeCell ref="A1:I1"/>
    <mergeCell ref="A14:H14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9B672-A9D9-4EEE-B01A-447ABFE9DA37}">
  <dimension ref="A1:L13"/>
  <sheetViews>
    <sheetView topLeftCell="A9" zoomScaleNormal="100" workbookViewId="0">
      <selection activeCell="B12" sqref="B12"/>
    </sheetView>
  </sheetViews>
  <sheetFormatPr defaultRowHeight="15" x14ac:dyDescent="0.25"/>
  <cols>
    <col min="1" max="1" width="9.140625" style="2"/>
    <col min="2" max="2" width="30.7109375" style="2" customWidth="1"/>
    <col min="3" max="3" width="38.7109375" style="2" bestFit="1" customWidth="1"/>
    <col min="4" max="4" width="19.140625" style="2" bestFit="1" customWidth="1"/>
    <col min="5" max="5" width="30.7109375" style="2" customWidth="1"/>
    <col min="6" max="6" width="21.85546875" style="2" customWidth="1"/>
    <col min="7" max="7" width="20.42578125" style="2" bestFit="1" customWidth="1"/>
    <col min="8" max="8" width="11.140625" style="2" bestFit="1" customWidth="1"/>
    <col min="9" max="9" width="16.7109375" style="2" bestFit="1" customWidth="1"/>
    <col min="10" max="10" width="16.7109375" style="2" customWidth="1"/>
    <col min="11" max="11" width="17.5703125" style="2" bestFit="1" customWidth="1"/>
    <col min="12" max="12" width="17.7109375" style="2" bestFit="1" customWidth="1"/>
    <col min="13" max="16384" width="9.140625" style="2"/>
  </cols>
  <sheetData>
    <row r="1" spans="1:12" ht="2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1"/>
    </row>
    <row r="2" spans="1:12" ht="21" x14ac:dyDescent="0.35">
      <c r="A2" s="1"/>
      <c r="B2" s="1"/>
      <c r="C2" s="1"/>
      <c r="D2" s="1"/>
      <c r="E2" s="1"/>
      <c r="F2" s="1"/>
      <c r="G2" s="1"/>
      <c r="H2" s="1"/>
      <c r="K2" s="3">
        <v>46148</v>
      </c>
    </row>
    <row r="3" spans="1:12" ht="18.7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75" customHeight="1" x14ac:dyDescent="0.5">
      <c r="A4" s="6">
        <v>1</v>
      </c>
      <c r="B4" s="7" t="s">
        <v>49</v>
      </c>
      <c r="C4" s="7" t="s">
        <v>50</v>
      </c>
      <c r="D4" s="15" t="s">
        <v>51</v>
      </c>
      <c r="E4" s="16" t="s">
        <v>52</v>
      </c>
      <c r="F4" s="8">
        <v>30</v>
      </c>
      <c r="G4" s="9">
        <v>1</v>
      </c>
      <c r="H4" s="10">
        <v>150000</v>
      </c>
      <c r="I4" s="10">
        <f t="shared" ref="I4:I12" si="0">G4*H4+1000</f>
        <v>151000</v>
      </c>
      <c r="J4" s="11">
        <v>46148</v>
      </c>
      <c r="K4" s="12" t="s">
        <v>12</v>
      </c>
      <c r="L4" s="17" t="s">
        <v>13</v>
      </c>
    </row>
    <row r="5" spans="1:12" ht="75" customHeight="1" x14ac:dyDescent="0.25">
      <c r="A5" s="6">
        <v>2</v>
      </c>
      <c r="B5" s="7" t="s">
        <v>53</v>
      </c>
      <c r="C5" s="7" t="s">
        <v>54</v>
      </c>
      <c r="D5" s="15" t="s">
        <v>55</v>
      </c>
      <c r="E5" s="18" t="s">
        <v>56</v>
      </c>
      <c r="F5" s="8">
        <v>30</v>
      </c>
      <c r="G5" s="9">
        <v>1</v>
      </c>
      <c r="H5" s="10">
        <v>150000</v>
      </c>
      <c r="I5" s="10">
        <f t="shared" si="0"/>
        <v>151000</v>
      </c>
      <c r="J5" s="11">
        <v>46148</v>
      </c>
      <c r="K5" s="12" t="s">
        <v>12</v>
      </c>
      <c r="L5" s="17" t="s">
        <v>13</v>
      </c>
    </row>
    <row r="6" spans="1:12" ht="75" customHeight="1" x14ac:dyDescent="0.25">
      <c r="A6" s="6">
        <v>3</v>
      </c>
      <c r="B6" s="7" t="s">
        <v>53</v>
      </c>
      <c r="C6" s="7" t="s">
        <v>54</v>
      </c>
      <c r="D6" s="15" t="s">
        <v>57</v>
      </c>
      <c r="E6" s="18" t="s">
        <v>58</v>
      </c>
      <c r="F6" s="8">
        <v>30</v>
      </c>
      <c r="G6" s="9">
        <v>1</v>
      </c>
      <c r="H6" s="10">
        <v>150000</v>
      </c>
      <c r="I6" s="10">
        <f t="shared" si="0"/>
        <v>151000</v>
      </c>
      <c r="J6" s="11">
        <v>46148</v>
      </c>
      <c r="K6" s="12" t="s">
        <v>12</v>
      </c>
      <c r="L6" s="17" t="s">
        <v>13</v>
      </c>
    </row>
    <row r="7" spans="1:12" ht="75" customHeight="1" x14ac:dyDescent="0.25">
      <c r="A7" s="6">
        <v>4</v>
      </c>
      <c r="B7" s="7" t="s">
        <v>53</v>
      </c>
      <c r="C7" s="7" t="s">
        <v>54</v>
      </c>
      <c r="D7" s="15" t="s">
        <v>59</v>
      </c>
      <c r="E7" s="18" t="s">
        <v>60</v>
      </c>
      <c r="F7" s="8">
        <v>30</v>
      </c>
      <c r="G7" s="9">
        <v>1</v>
      </c>
      <c r="H7" s="10">
        <v>150000</v>
      </c>
      <c r="I7" s="10">
        <f t="shared" si="0"/>
        <v>151000</v>
      </c>
      <c r="J7" s="11">
        <v>46148</v>
      </c>
      <c r="K7" s="12" t="s">
        <v>12</v>
      </c>
      <c r="L7" s="17" t="s">
        <v>13</v>
      </c>
    </row>
    <row r="8" spans="1:12" ht="75" customHeight="1" x14ac:dyDescent="0.25">
      <c r="A8" s="6">
        <v>5</v>
      </c>
      <c r="B8" s="7" t="s">
        <v>53</v>
      </c>
      <c r="C8" s="7" t="s">
        <v>54</v>
      </c>
      <c r="D8" s="15" t="s">
        <v>61</v>
      </c>
      <c r="E8" s="18" t="s">
        <v>62</v>
      </c>
      <c r="F8" s="8" t="s">
        <v>63</v>
      </c>
      <c r="G8" s="9">
        <v>2</v>
      </c>
      <c r="H8" s="10">
        <v>150000</v>
      </c>
      <c r="I8" s="10">
        <f t="shared" si="0"/>
        <v>301000</v>
      </c>
      <c r="J8" s="11">
        <v>46148</v>
      </c>
      <c r="K8" s="12" t="s">
        <v>12</v>
      </c>
      <c r="L8" s="17" t="s">
        <v>13</v>
      </c>
    </row>
    <row r="9" spans="1:12" ht="75" customHeight="1" x14ac:dyDescent="0.25">
      <c r="A9" s="6">
        <v>6</v>
      </c>
      <c r="B9" s="7" t="s">
        <v>64</v>
      </c>
      <c r="C9" s="7" t="s">
        <v>65</v>
      </c>
      <c r="D9" s="15" t="s">
        <v>66</v>
      </c>
      <c r="E9" s="18" t="s">
        <v>67</v>
      </c>
      <c r="F9" s="8">
        <v>20</v>
      </c>
      <c r="G9" s="9">
        <v>1</v>
      </c>
      <c r="H9" s="10">
        <v>150000</v>
      </c>
      <c r="I9" s="10">
        <f t="shared" si="0"/>
        <v>151000</v>
      </c>
      <c r="J9" s="11">
        <v>46148</v>
      </c>
      <c r="K9" s="12" t="s">
        <v>12</v>
      </c>
      <c r="L9" s="17" t="s">
        <v>13</v>
      </c>
    </row>
    <row r="10" spans="1:12" ht="75" customHeight="1" x14ac:dyDescent="0.5">
      <c r="A10" s="6">
        <v>7</v>
      </c>
      <c r="B10" s="7" t="s">
        <v>64</v>
      </c>
      <c r="C10" s="7" t="s">
        <v>65</v>
      </c>
      <c r="D10" s="15" t="s">
        <v>68</v>
      </c>
      <c r="E10" s="16" t="s">
        <v>69</v>
      </c>
      <c r="F10" s="8">
        <v>20</v>
      </c>
      <c r="G10" s="9">
        <v>1</v>
      </c>
      <c r="H10" s="10">
        <v>150000</v>
      </c>
      <c r="I10" s="10">
        <f t="shared" si="0"/>
        <v>151000</v>
      </c>
      <c r="J10" s="11">
        <v>46148</v>
      </c>
      <c r="K10" s="12" t="s">
        <v>12</v>
      </c>
      <c r="L10" s="17" t="s">
        <v>13</v>
      </c>
    </row>
    <row r="11" spans="1:12" ht="75" customHeight="1" x14ac:dyDescent="0.25">
      <c r="A11" s="6">
        <v>8</v>
      </c>
      <c r="B11" s="7" t="s">
        <v>70</v>
      </c>
      <c r="C11" s="7" t="s">
        <v>71</v>
      </c>
      <c r="D11" s="15" t="s">
        <v>72</v>
      </c>
      <c r="E11" s="18" t="s">
        <v>73</v>
      </c>
      <c r="F11" s="8" t="s">
        <v>74</v>
      </c>
      <c r="G11" s="9">
        <v>1</v>
      </c>
      <c r="H11" s="10">
        <v>50000</v>
      </c>
      <c r="I11" s="10">
        <f t="shared" si="0"/>
        <v>51000</v>
      </c>
      <c r="J11" s="11">
        <v>46148</v>
      </c>
      <c r="K11" s="12" t="s">
        <v>12</v>
      </c>
      <c r="L11" s="17"/>
    </row>
    <row r="12" spans="1:12" ht="75" customHeight="1" x14ac:dyDescent="0.25">
      <c r="A12" s="6">
        <v>9</v>
      </c>
      <c r="B12" s="7" t="s">
        <v>75</v>
      </c>
      <c r="C12" s="7" t="s">
        <v>76</v>
      </c>
      <c r="D12" s="15" t="s">
        <v>77</v>
      </c>
      <c r="E12" s="18" t="s">
        <v>78</v>
      </c>
      <c r="F12" s="8" t="s">
        <v>79</v>
      </c>
      <c r="G12" s="9">
        <v>1</v>
      </c>
      <c r="H12" s="10">
        <v>50000</v>
      </c>
      <c r="I12" s="10">
        <f t="shared" si="0"/>
        <v>51000</v>
      </c>
      <c r="J12" s="11">
        <v>46148</v>
      </c>
      <c r="K12" s="12" t="s">
        <v>12</v>
      </c>
      <c r="L12" s="17"/>
    </row>
    <row r="13" spans="1:12" ht="75" customHeight="1" x14ac:dyDescent="0.25">
      <c r="A13" s="30" t="s">
        <v>9</v>
      </c>
      <c r="B13" s="31"/>
      <c r="C13" s="31"/>
      <c r="D13" s="31"/>
      <c r="E13" s="31"/>
      <c r="F13" s="31"/>
      <c r="G13" s="31"/>
      <c r="H13" s="32"/>
      <c r="I13" s="13">
        <f>SUM(I4:I12)</f>
        <v>1309000</v>
      </c>
      <c r="J13" s="14"/>
    </row>
  </sheetData>
  <mergeCells count="2">
    <mergeCell ref="A1:I1"/>
    <mergeCell ref="A13:H13"/>
  </mergeCell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6C139-56BC-4B9B-A38A-6B4AAF6378DA}">
  <dimension ref="A1:L13"/>
  <sheetViews>
    <sheetView topLeftCell="C10" zoomScaleNormal="100" workbookViewId="0">
      <selection activeCell="K12" sqref="K12"/>
    </sheetView>
  </sheetViews>
  <sheetFormatPr defaultRowHeight="15" x14ac:dyDescent="0.25"/>
  <cols>
    <col min="1" max="1" width="9.140625" style="2"/>
    <col min="2" max="2" width="30.7109375" style="2" customWidth="1"/>
    <col min="3" max="3" width="38.7109375" style="2" bestFit="1" customWidth="1"/>
    <col min="4" max="4" width="19.140625" style="2" bestFit="1" customWidth="1"/>
    <col min="5" max="5" width="30.7109375" style="2" customWidth="1"/>
    <col min="6" max="6" width="21.85546875" style="2" customWidth="1"/>
    <col min="7" max="7" width="20.42578125" style="2" bestFit="1" customWidth="1"/>
    <col min="8" max="8" width="11.140625" style="2" bestFit="1" customWidth="1"/>
    <col min="9" max="9" width="16.7109375" style="2" bestFit="1" customWidth="1"/>
    <col min="10" max="10" width="16.7109375" style="2" customWidth="1"/>
    <col min="11" max="11" width="18.140625" style="2" bestFit="1" customWidth="1"/>
    <col min="12" max="12" width="17.7109375" style="2" bestFit="1" customWidth="1"/>
    <col min="13" max="16384" width="9.140625" style="2"/>
  </cols>
  <sheetData>
    <row r="1" spans="1:12" ht="2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1"/>
    </row>
    <row r="2" spans="1:12" ht="21" x14ac:dyDescent="0.35">
      <c r="A2" s="1"/>
      <c r="B2" s="1"/>
      <c r="C2" s="1"/>
      <c r="D2" s="1"/>
      <c r="E2" s="1"/>
      <c r="F2" s="1"/>
      <c r="G2" s="1"/>
      <c r="H2" s="1"/>
      <c r="K2" s="3">
        <v>46153</v>
      </c>
    </row>
    <row r="3" spans="1:12" ht="18.7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75" customHeight="1" x14ac:dyDescent="0.5">
      <c r="A4" s="6">
        <v>1</v>
      </c>
      <c r="B4" s="7" t="s">
        <v>49</v>
      </c>
      <c r="C4" s="7" t="s">
        <v>50</v>
      </c>
      <c r="D4" s="15" t="s">
        <v>51</v>
      </c>
      <c r="E4" s="16" t="s">
        <v>52</v>
      </c>
      <c r="F4" s="8">
        <v>30</v>
      </c>
      <c r="G4" s="9">
        <v>1</v>
      </c>
      <c r="H4" s="10">
        <v>150000</v>
      </c>
      <c r="I4" s="10">
        <f t="shared" ref="I4:I12" si="0">G4*H4+1000</f>
        <v>151000</v>
      </c>
      <c r="J4" s="11">
        <v>46153</v>
      </c>
      <c r="K4" s="12" t="s">
        <v>12</v>
      </c>
      <c r="L4" s="17" t="s">
        <v>13</v>
      </c>
    </row>
    <row r="5" spans="1:12" ht="75" customHeight="1" x14ac:dyDescent="0.25">
      <c r="A5" s="6">
        <v>2</v>
      </c>
      <c r="B5" s="7" t="s">
        <v>53</v>
      </c>
      <c r="C5" s="7" t="s">
        <v>54</v>
      </c>
      <c r="D5" s="15" t="s">
        <v>55</v>
      </c>
      <c r="E5" s="18" t="s">
        <v>56</v>
      </c>
      <c r="F5" s="8">
        <v>30</v>
      </c>
      <c r="G5" s="9">
        <v>1</v>
      </c>
      <c r="H5" s="10">
        <v>150000</v>
      </c>
      <c r="I5" s="10">
        <f t="shared" si="0"/>
        <v>151000</v>
      </c>
      <c r="J5" s="11">
        <v>46153</v>
      </c>
      <c r="K5" s="12" t="s">
        <v>12</v>
      </c>
      <c r="L5" s="17" t="s">
        <v>13</v>
      </c>
    </row>
    <row r="6" spans="1:12" ht="75" customHeight="1" x14ac:dyDescent="0.25">
      <c r="A6" s="6">
        <v>3</v>
      </c>
      <c r="B6" s="7" t="s">
        <v>53</v>
      </c>
      <c r="C6" s="7" t="s">
        <v>54</v>
      </c>
      <c r="D6" s="15" t="s">
        <v>57</v>
      </c>
      <c r="E6" s="18" t="s">
        <v>58</v>
      </c>
      <c r="F6" s="8">
        <v>30</v>
      </c>
      <c r="G6" s="9">
        <v>1</v>
      </c>
      <c r="H6" s="10">
        <v>150000</v>
      </c>
      <c r="I6" s="10">
        <f t="shared" si="0"/>
        <v>151000</v>
      </c>
      <c r="J6" s="11">
        <v>46153</v>
      </c>
      <c r="K6" s="12" t="s">
        <v>12</v>
      </c>
      <c r="L6" s="17" t="s">
        <v>13</v>
      </c>
    </row>
    <row r="7" spans="1:12" ht="75" customHeight="1" x14ac:dyDescent="0.25">
      <c r="A7" s="6">
        <v>4</v>
      </c>
      <c r="B7" s="7" t="s">
        <v>53</v>
      </c>
      <c r="C7" s="7" t="s">
        <v>54</v>
      </c>
      <c r="D7" s="15" t="s">
        <v>59</v>
      </c>
      <c r="E7" s="18" t="s">
        <v>60</v>
      </c>
      <c r="F7" s="8">
        <v>30</v>
      </c>
      <c r="G7" s="9">
        <v>1</v>
      </c>
      <c r="H7" s="10">
        <v>150000</v>
      </c>
      <c r="I7" s="10">
        <f t="shared" si="0"/>
        <v>151000</v>
      </c>
      <c r="J7" s="11">
        <v>46153</v>
      </c>
      <c r="K7" s="12" t="s">
        <v>12</v>
      </c>
      <c r="L7" s="17" t="s">
        <v>13</v>
      </c>
    </row>
    <row r="8" spans="1:12" ht="75" customHeight="1" x14ac:dyDescent="0.25">
      <c r="A8" s="6">
        <v>5</v>
      </c>
      <c r="B8" s="7" t="s">
        <v>53</v>
      </c>
      <c r="C8" s="7" t="s">
        <v>54</v>
      </c>
      <c r="D8" s="15" t="s">
        <v>61</v>
      </c>
      <c r="E8" s="18" t="s">
        <v>62</v>
      </c>
      <c r="F8" s="8" t="s">
        <v>63</v>
      </c>
      <c r="G8" s="9">
        <v>2</v>
      </c>
      <c r="H8" s="10">
        <v>150000</v>
      </c>
      <c r="I8" s="10">
        <f t="shared" si="0"/>
        <v>301000</v>
      </c>
      <c r="J8" s="11">
        <v>46153</v>
      </c>
      <c r="K8" s="12" t="s">
        <v>12</v>
      </c>
      <c r="L8" s="17" t="s">
        <v>13</v>
      </c>
    </row>
    <row r="9" spans="1:12" ht="75" customHeight="1" x14ac:dyDescent="0.25">
      <c r="A9" s="6">
        <v>6</v>
      </c>
      <c r="B9" s="7" t="s">
        <v>64</v>
      </c>
      <c r="C9" s="7" t="s">
        <v>65</v>
      </c>
      <c r="D9" s="15" t="s">
        <v>66</v>
      </c>
      <c r="E9" s="18" t="s">
        <v>67</v>
      </c>
      <c r="F9" s="8">
        <v>20</v>
      </c>
      <c r="G9" s="9">
        <v>1</v>
      </c>
      <c r="H9" s="10">
        <v>150000</v>
      </c>
      <c r="I9" s="10">
        <f t="shared" si="0"/>
        <v>151000</v>
      </c>
      <c r="J9" s="11">
        <v>46153</v>
      </c>
      <c r="K9" s="12" t="s">
        <v>12</v>
      </c>
      <c r="L9" s="17" t="s">
        <v>13</v>
      </c>
    </row>
    <row r="10" spans="1:12" ht="75" customHeight="1" x14ac:dyDescent="0.5">
      <c r="A10" s="6">
        <v>7</v>
      </c>
      <c r="B10" s="7" t="s">
        <v>64</v>
      </c>
      <c r="C10" s="7" t="s">
        <v>65</v>
      </c>
      <c r="D10" s="15" t="s">
        <v>68</v>
      </c>
      <c r="E10" s="16" t="s">
        <v>69</v>
      </c>
      <c r="F10" s="8">
        <v>20</v>
      </c>
      <c r="G10" s="9">
        <v>1</v>
      </c>
      <c r="H10" s="10">
        <v>150000</v>
      </c>
      <c r="I10" s="10">
        <f t="shared" si="0"/>
        <v>151000</v>
      </c>
      <c r="J10" s="11">
        <v>46153</v>
      </c>
      <c r="K10" s="12" t="s">
        <v>12</v>
      </c>
      <c r="L10" s="17" t="s">
        <v>13</v>
      </c>
    </row>
    <row r="11" spans="1:12" ht="75" customHeight="1" x14ac:dyDescent="0.25">
      <c r="A11" s="6">
        <v>8</v>
      </c>
      <c r="B11" s="7" t="s">
        <v>70</v>
      </c>
      <c r="C11" s="7" t="s">
        <v>71</v>
      </c>
      <c r="D11" s="15" t="s">
        <v>72</v>
      </c>
      <c r="E11" s="18" t="s">
        <v>73</v>
      </c>
      <c r="F11" s="8" t="s">
        <v>74</v>
      </c>
      <c r="G11" s="9">
        <v>1</v>
      </c>
      <c r="H11" s="10">
        <v>50000</v>
      </c>
      <c r="I11" s="10">
        <f t="shared" si="0"/>
        <v>51000</v>
      </c>
      <c r="J11" s="11">
        <v>46153</v>
      </c>
      <c r="K11" s="12" t="s">
        <v>12</v>
      </c>
      <c r="L11" s="17"/>
    </row>
    <row r="12" spans="1:12" ht="75" customHeight="1" x14ac:dyDescent="0.25">
      <c r="A12" s="6">
        <v>9</v>
      </c>
      <c r="B12" s="7" t="s">
        <v>75</v>
      </c>
      <c r="C12" s="7" t="s">
        <v>76</v>
      </c>
      <c r="D12" s="15" t="s">
        <v>77</v>
      </c>
      <c r="E12" s="18" t="s">
        <v>78</v>
      </c>
      <c r="F12" s="8" t="s">
        <v>79</v>
      </c>
      <c r="G12" s="9">
        <v>1</v>
      </c>
      <c r="H12" s="10">
        <v>50000</v>
      </c>
      <c r="I12" s="10">
        <f t="shared" si="0"/>
        <v>51000</v>
      </c>
      <c r="J12" s="11">
        <v>46153</v>
      </c>
      <c r="K12" s="12" t="s">
        <v>12</v>
      </c>
      <c r="L12" s="17"/>
    </row>
    <row r="13" spans="1:12" ht="75" customHeight="1" x14ac:dyDescent="0.25">
      <c r="A13" s="30" t="s">
        <v>9</v>
      </c>
      <c r="B13" s="31"/>
      <c r="C13" s="31"/>
      <c r="D13" s="31"/>
      <c r="E13" s="31"/>
      <c r="F13" s="31"/>
      <c r="G13" s="31"/>
      <c r="H13" s="32"/>
      <c r="I13" s="13">
        <f>SUM(I4:I12)</f>
        <v>1309000</v>
      </c>
      <c r="J13" s="14"/>
    </row>
  </sheetData>
  <mergeCells count="2">
    <mergeCell ref="A1:I1"/>
    <mergeCell ref="A13:H13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03954-50E3-4EDB-8045-01E6310B0F01}">
  <dimension ref="A1:L29"/>
  <sheetViews>
    <sheetView topLeftCell="A25" zoomScaleNormal="100" workbookViewId="0">
      <selection activeCell="G28" sqref="G28"/>
    </sheetView>
  </sheetViews>
  <sheetFormatPr defaultRowHeight="15" x14ac:dyDescent="0.25"/>
  <cols>
    <col min="1" max="1" width="9.140625" style="2"/>
    <col min="2" max="2" width="30.7109375" style="2" customWidth="1"/>
    <col min="3" max="3" width="38.7109375" style="2" bestFit="1" customWidth="1"/>
    <col min="4" max="4" width="19.140625" style="2" bestFit="1" customWidth="1"/>
    <col min="5" max="5" width="30.7109375" style="2" customWidth="1"/>
    <col min="6" max="6" width="21.85546875" style="2" customWidth="1"/>
    <col min="7" max="7" width="20.42578125" style="2" bestFit="1" customWidth="1"/>
    <col min="8" max="8" width="11.140625" style="2" bestFit="1" customWidth="1"/>
    <col min="9" max="9" width="16.7109375" style="2" bestFit="1" customWidth="1"/>
    <col min="10" max="10" width="16.7109375" style="2" customWidth="1"/>
    <col min="11" max="11" width="18.140625" style="2" bestFit="1" customWidth="1"/>
    <col min="12" max="12" width="17.7109375" style="2" bestFit="1" customWidth="1"/>
    <col min="13" max="16384" width="9.140625" style="2"/>
  </cols>
  <sheetData>
    <row r="1" spans="1:12" ht="2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1"/>
    </row>
    <row r="2" spans="1:12" ht="21" x14ac:dyDescent="0.35">
      <c r="A2" s="1"/>
      <c r="B2" s="1"/>
      <c r="C2" s="1"/>
      <c r="D2" s="1"/>
      <c r="E2" s="1"/>
      <c r="F2" s="27" t="s">
        <v>119</v>
      </c>
      <c r="G2" s="1"/>
      <c r="H2" s="1"/>
      <c r="K2" s="3">
        <v>46157</v>
      </c>
    </row>
    <row r="3" spans="1:12" ht="18.7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75" customHeight="1" x14ac:dyDescent="0.5">
      <c r="A4" s="6">
        <v>1</v>
      </c>
      <c r="B4" s="7" t="s">
        <v>80</v>
      </c>
      <c r="C4" s="7" t="s">
        <v>81</v>
      </c>
      <c r="D4" s="15" t="s">
        <v>82</v>
      </c>
      <c r="E4" s="16" t="s">
        <v>83</v>
      </c>
      <c r="F4" s="8">
        <v>21</v>
      </c>
      <c r="G4" s="9">
        <v>1</v>
      </c>
      <c r="H4" s="10">
        <v>150000</v>
      </c>
      <c r="I4" s="10">
        <f t="shared" ref="I4:I10" si="0">G4*H4+1000</f>
        <v>151000</v>
      </c>
      <c r="J4" s="11">
        <v>46157</v>
      </c>
      <c r="K4" s="12" t="s">
        <v>18</v>
      </c>
      <c r="L4" s="17"/>
    </row>
    <row r="5" spans="1:12" ht="75" customHeight="1" x14ac:dyDescent="0.5">
      <c r="A5" s="6">
        <v>2</v>
      </c>
      <c r="B5" s="7" t="s">
        <v>84</v>
      </c>
      <c r="C5" s="7" t="s">
        <v>85</v>
      </c>
      <c r="D5" s="15" t="s">
        <v>86</v>
      </c>
      <c r="E5" s="16" t="s">
        <v>87</v>
      </c>
      <c r="F5" s="8" t="s">
        <v>88</v>
      </c>
      <c r="G5" s="9">
        <v>4</v>
      </c>
      <c r="H5" s="10">
        <v>150000</v>
      </c>
      <c r="I5" s="10">
        <f t="shared" si="0"/>
        <v>601000</v>
      </c>
      <c r="J5" s="11">
        <v>46157</v>
      </c>
      <c r="K5" s="12" t="s">
        <v>12</v>
      </c>
      <c r="L5" s="17" t="s">
        <v>13</v>
      </c>
    </row>
    <row r="6" spans="1:12" ht="75" customHeight="1" x14ac:dyDescent="0.5">
      <c r="A6" s="6">
        <v>3</v>
      </c>
      <c r="B6" s="7" t="s">
        <v>84</v>
      </c>
      <c r="C6" s="7" t="s">
        <v>85</v>
      </c>
      <c r="D6" s="15" t="s">
        <v>89</v>
      </c>
      <c r="E6" s="16" t="s">
        <v>90</v>
      </c>
      <c r="F6" s="8" t="s">
        <v>88</v>
      </c>
      <c r="G6" s="9">
        <v>4</v>
      </c>
      <c r="H6" s="10">
        <v>150000</v>
      </c>
      <c r="I6" s="10">
        <f t="shared" si="0"/>
        <v>601000</v>
      </c>
      <c r="J6" s="11">
        <v>46157</v>
      </c>
      <c r="K6" s="12" t="s">
        <v>12</v>
      </c>
      <c r="L6" s="17" t="s">
        <v>13</v>
      </c>
    </row>
    <row r="7" spans="1:12" ht="75" customHeight="1" x14ac:dyDescent="0.5">
      <c r="A7" s="6">
        <v>4</v>
      </c>
      <c r="B7" s="7" t="s">
        <v>84</v>
      </c>
      <c r="C7" s="7" t="s">
        <v>85</v>
      </c>
      <c r="D7" s="15" t="s">
        <v>91</v>
      </c>
      <c r="E7" s="16" t="s">
        <v>92</v>
      </c>
      <c r="F7" s="8" t="s">
        <v>88</v>
      </c>
      <c r="G7" s="9">
        <v>4</v>
      </c>
      <c r="H7" s="10">
        <v>150000</v>
      </c>
      <c r="I7" s="10">
        <f t="shared" si="0"/>
        <v>601000</v>
      </c>
      <c r="J7" s="11">
        <v>46157</v>
      </c>
      <c r="K7" s="12" t="s">
        <v>12</v>
      </c>
      <c r="L7" s="17" t="s">
        <v>13</v>
      </c>
    </row>
    <row r="8" spans="1:12" ht="75" customHeight="1" x14ac:dyDescent="0.5">
      <c r="A8" s="6">
        <v>5</v>
      </c>
      <c r="B8" s="7" t="s">
        <v>93</v>
      </c>
      <c r="C8" s="7" t="s">
        <v>94</v>
      </c>
      <c r="D8" s="15" t="s">
        <v>95</v>
      </c>
      <c r="E8" s="16" t="s">
        <v>96</v>
      </c>
      <c r="F8" s="8">
        <v>12</v>
      </c>
      <c r="G8" s="9">
        <v>1</v>
      </c>
      <c r="H8" s="10">
        <v>150000</v>
      </c>
      <c r="I8" s="10">
        <f t="shared" si="0"/>
        <v>151000</v>
      </c>
      <c r="J8" s="11">
        <v>46157</v>
      </c>
      <c r="K8" s="12" t="s">
        <v>12</v>
      </c>
      <c r="L8" s="17" t="s">
        <v>13</v>
      </c>
    </row>
    <row r="9" spans="1:12" ht="75" customHeight="1" x14ac:dyDescent="0.5">
      <c r="A9" s="6">
        <v>6</v>
      </c>
      <c r="B9" s="7" t="s">
        <v>97</v>
      </c>
      <c r="C9" s="7" t="s">
        <v>98</v>
      </c>
      <c r="D9" s="15" t="s">
        <v>99</v>
      </c>
      <c r="E9" s="16" t="s">
        <v>100</v>
      </c>
      <c r="F9" s="8">
        <v>3</v>
      </c>
      <c r="G9" s="9">
        <v>1</v>
      </c>
      <c r="H9" s="10">
        <v>150000</v>
      </c>
      <c r="I9" s="10">
        <f t="shared" si="0"/>
        <v>151000</v>
      </c>
      <c r="J9" s="11">
        <v>46157</v>
      </c>
      <c r="K9" s="12" t="s">
        <v>12</v>
      </c>
      <c r="L9" s="17" t="s">
        <v>13</v>
      </c>
    </row>
    <row r="10" spans="1:12" ht="75" customHeight="1" x14ac:dyDescent="0.5">
      <c r="A10" s="6">
        <v>7</v>
      </c>
      <c r="B10" s="7" t="s">
        <v>97</v>
      </c>
      <c r="C10" s="7" t="s">
        <v>98</v>
      </c>
      <c r="D10" s="15" t="s">
        <v>101</v>
      </c>
      <c r="E10" s="16" t="s">
        <v>102</v>
      </c>
      <c r="F10" s="8">
        <v>10</v>
      </c>
      <c r="G10" s="9">
        <v>1</v>
      </c>
      <c r="H10" s="10">
        <v>150000</v>
      </c>
      <c r="I10" s="10">
        <f t="shared" si="0"/>
        <v>151000</v>
      </c>
      <c r="J10" s="11">
        <v>46157</v>
      </c>
      <c r="K10" s="12" t="s">
        <v>12</v>
      </c>
      <c r="L10" s="17" t="s">
        <v>13</v>
      </c>
    </row>
    <row r="11" spans="1:12" ht="75" customHeight="1" x14ac:dyDescent="0.5">
      <c r="A11" s="6">
        <v>8</v>
      </c>
      <c r="B11" s="7" t="s">
        <v>97</v>
      </c>
      <c r="C11" s="7" t="s">
        <v>98</v>
      </c>
      <c r="D11" s="15" t="s">
        <v>103</v>
      </c>
      <c r="E11" s="16" t="s">
        <v>104</v>
      </c>
      <c r="F11" s="8">
        <v>5</v>
      </c>
      <c r="G11" s="9">
        <v>1</v>
      </c>
      <c r="H11" s="10">
        <v>150000</v>
      </c>
      <c r="I11" s="10">
        <f t="shared" ref="I11:I28" si="1">G11*H11+1000</f>
        <v>151000</v>
      </c>
      <c r="J11" s="11">
        <v>46157</v>
      </c>
      <c r="K11" s="12" t="s">
        <v>12</v>
      </c>
      <c r="L11" s="17" t="s">
        <v>13</v>
      </c>
    </row>
    <row r="12" spans="1:12" ht="75" customHeight="1" x14ac:dyDescent="0.5">
      <c r="A12" s="6">
        <v>9</v>
      </c>
      <c r="B12" s="7" t="s">
        <v>97</v>
      </c>
      <c r="C12" s="7" t="s">
        <v>98</v>
      </c>
      <c r="D12" s="15" t="s">
        <v>105</v>
      </c>
      <c r="E12" s="16" t="s">
        <v>106</v>
      </c>
      <c r="F12" s="8">
        <v>3</v>
      </c>
      <c r="G12" s="9">
        <v>1</v>
      </c>
      <c r="H12" s="10">
        <v>150000</v>
      </c>
      <c r="I12" s="10">
        <f t="shared" si="1"/>
        <v>151000</v>
      </c>
      <c r="J12" s="11">
        <v>46157</v>
      </c>
      <c r="K12" s="12" t="s">
        <v>12</v>
      </c>
      <c r="L12" s="17" t="s">
        <v>13</v>
      </c>
    </row>
    <row r="13" spans="1:12" ht="75" customHeight="1" x14ac:dyDescent="0.5">
      <c r="A13" s="6">
        <v>10</v>
      </c>
      <c r="B13" s="7" t="s">
        <v>97</v>
      </c>
      <c r="C13" s="7" t="s">
        <v>98</v>
      </c>
      <c r="D13" s="15" t="s">
        <v>107</v>
      </c>
      <c r="E13" s="16" t="s">
        <v>108</v>
      </c>
      <c r="F13" s="8" t="s">
        <v>109</v>
      </c>
      <c r="G13" s="9">
        <v>5</v>
      </c>
      <c r="H13" s="10">
        <v>150000</v>
      </c>
      <c r="I13" s="10">
        <f t="shared" si="1"/>
        <v>751000</v>
      </c>
      <c r="J13" s="11">
        <v>46157</v>
      </c>
      <c r="K13" s="12" t="s">
        <v>12</v>
      </c>
      <c r="L13" s="17" t="s">
        <v>13</v>
      </c>
    </row>
    <row r="14" spans="1:12" ht="75" customHeight="1" x14ac:dyDescent="0.5">
      <c r="A14" s="6">
        <v>11</v>
      </c>
      <c r="B14" s="19" t="s">
        <v>97</v>
      </c>
      <c r="C14" s="19" t="s">
        <v>98</v>
      </c>
      <c r="D14" s="20" t="s">
        <v>110</v>
      </c>
      <c r="E14" s="21" t="s">
        <v>111</v>
      </c>
      <c r="F14" s="22" t="s">
        <v>112</v>
      </c>
      <c r="G14" s="23">
        <v>3</v>
      </c>
      <c r="H14" s="24">
        <v>150000</v>
      </c>
      <c r="I14" s="24">
        <f t="shared" si="1"/>
        <v>451000</v>
      </c>
      <c r="J14" s="25">
        <v>46157</v>
      </c>
      <c r="K14" s="26" t="s">
        <v>12</v>
      </c>
      <c r="L14" s="17" t="s">
        <v>13</v>
      </c>
    </row>
    <row r="15" spans="1:12" ht="75" customHeight="1" x14ac:dyDescent="0.5">
      <c r="A15" s="6">
        <v>12</v>
      </c>
      <c r="B15" s="19" t="s">
        <v>97</v>
      </c>
      <c r="C15" s="19" t="s">
        <v>98</v>
      </c>
      <c r="D15" s="20" t="s">
        <v>113</v>
      </c>
      <c r="E15" s="21" t="s">
        <v>114</v>
      </c>
      <c r="F15" s="22" t="s">
        <v>115</v>
      </c>
      <c r="G15" s="23">
        <v>5</v>
      </c>
      <c r="H15" s="24">
        <v>150000</v>
      </c>
      <c r="I15" s="24">
        <f t="shared" si="1"/>
        <v>751000</v>
      </c>
      <c r="J15" s="25">
        <v>46157</v>
      </c>
      <c r="K15" s="26" t="s">
        <v>12</v>
      </c>
      <c r="L15" s="17" t="s">
        <v>13</v>
      </c>
    </row>
    <row r="16" spans="1:12" ht="75" customHeight="1" x14ac:dyDescent="0.5">
      <c r="A16" s="6">
        <v>13</v>
      </c>
      <c r="B16" s="7" t="s">
        <v>97</v>
      </c>
      <c r="C16" s="7" t="s">
        <v>116</v>
      </c>
      <c r="D16" s="15" t="s">
        <v>117</v>
      </c>
      <c r="E16" s="16" t="s">
        <v>118</v>
      </c>
      <c r="F16" s="8">
        <v>18</v>
      </c>
      <c r="G16" s="9">
        <v>1</v>
      </c>
      <c r="H16" s="10">
        <v>150000</v>
      </c>
      <c r="I16" s="10">
        <f t="shared" si="1"/>
        <v>151000</v>
      </c>
      <c r="J16" s="11">
        <v>46157</v>
      </c>
      <c r="K16" s="12" t="s">
        <v>12</v>
      </c>
      <c r="L16" s="17" t="s">
        <v>13</v>
      </c>
    </row>
    <row r="17" spans="1:12" ht="75" customHeight="1" x14ac:dyDescent="0.5">
      <c r="A17" s="6">
        <v>14</v>
      </c>
      <c r="B17" s="7" t="s">
        <v>120</v>
      </c>
      <c r="C17" s="7" t="s">
        <v>121</v>
      </c>
      <c r="D17" s="15" t="s">
        <v>122</v>
      </c>
      <c r="E17" s="16" t="s">
        <v>123</v>
      </c>
      <c r="F17" s="8">
        <v>3</v>
      </c>
      <c r="G17" s="9">
        <v>1</v>
      </c>
      <c r="H17" s="10">
        <v>150000</v>
      </c>
      <c r="I17" s="10">
        <f t="shared" si="1"/>
        <v>151000</v>
      </c>
      <c r="J17" s="11">
        <v>46157</v>
      </c>
      <c r="K17" s="12" t="s">
        <v>12</v>
      </c>
      <c r="L17" s="17" t="s">
        <v>13</v>
      </c>
    </row>
    <row r="18" spans="1:12" ht="75" customHeight="1" x14ac:dyDescent="0.5">
      <c r="A18" s="6">
        <v>15</v>
      </c>
      <c r="B18" s="7" t="s">
        <v>124</v>
      </c>
      <c r="C18" s="7" t="s">
        <v>125</v>
      </c>
      <c r="D18" s="15" t="s">
        <v>126</v>
      </c>
      <c r="E18" s="16" t="s">
        <v>127</v>
      </c>
      <c r="F18" s="8">
        <v>21</v>
      </c>
      <c r="G18" s="9">
        <v>1</v>
      </c>
      <c r="H18" s="10">
        <v>150000</v>
      </c>
      <c r="I18" s="10">
        <f t="shared" si="1"/>
        <v>151000</v>
      </c>
      <c r="J18" s="11">
        <v>46157</v>
      </c>
      <c r="K18" s="12" t="s">
        <v>12</v>
      </c>
      <c r="L18" s="17" t="s">
        <v>13</v>
      </c>
    </row>
    <row r="19" spans="1:12" ht="75" customHeight="1" x14ac:dyDescent="0.5">
      <c r="A19" s="6">
        <v>16</v>
      </c>
      <c r="B19" s="7" t="s">
        <v>97</v>
      </c>
      <c r="C19" s="7" t="s">
        <v>128</v>
      </c>
      <c r="D19" s="15" t="s">
        <v>129</v>
      </c>
      <c r="E19" s="16" t="s">
        <v>130</v>
      </c>
      <c r="F19" s="8">
        <v>12</v>
      </c>
      <c r="G19" s="9">
        <v>1</v>
      </c>
      <c r="H19" s="10">
        <v>150000</v>
      </c>
      <c r="I19" s="10">
        <f t="shared" si="1"/>
        <v>151000</v>
      </c>
      <c r="J19" s="11">
        <v>46157</v>
      </c>
      <c r="K19" s="12" t="s">
        <v>12</v>
      </c>
      <c r="L19" s="17" t="s">
        <v>13</v>
      </c>
    </row>
    <row r="20" spans="1:12" ht="75" customHeight="1" x14ac:dyDescent="0.5">
      <c r="A20" s="6">
        <v>17</v>
      </c>
      <c r="B20" s="7" t="s">
        <v>93</v>
      </c>
      <c r="C20" s="7" t="s">
        <v>131</v>
      </c>
      <c r="D20" s="15" t="s">
        <v>132</v>
      </c>
      <c r="E20" s="16" t="s">
        <v>133</v>
      </c>
      <c r="F20" s="8">
        <v>20</v>
      </c>
      <c r="G20" s="9">
        <v>1</v>
      </c>
      <c r="H20" s="10">
        <v>150000</v>
      </c>
      <c r="I20" s="10">
        <f t="shared" si="1"/>
        <v>151000</v>
      </c>
      <c r="J20" s="11">
        <v>46157</v>
      </c>
      <c r="K20" s="12" t="s">
        <v>12</v>
      </c>
      <c r="L20" s="17" t="s">
        <v>13</v>
      </c>
    </row>
    <row r="21" spans="1:12" ht="75" customHeight="1" x14ac:dyDescent="0.5">
      <c r="A21" s="6">
        <v>18</v>
      </c>
      <c r="B21" s="19" t="s">
        <v>134</v>
      </c>
      <c r="C21" s="19" t="s">
        <v>135</v>
      </c>
      <c r="D21" s="20" t="s">
        <v>136</v>
      </c>
      <c r="E21" s="21" t="s">
        <v>137</v>
      </c>
      <c r="F21" s="22">
        <v>9</v>
      </c>
      <c r="G21" s="23">
        <v>1</v>
      </c>
      <c r="H21" s="24">
        <v>150000</v>
      </c>
      <c r="I21" s="24">
        <f t="shared" si="1"/>
        <v>151000</v>
      </c>
      <c r="J21" s="25">
        <v>46157</v>
      </c>
      <c r="K21" s="26" t="s">
        <v>12</v>
      </c>
      <c r="L21" s="17" t="s">
        <v>13</v>
      </c>
    </row>
    <row r="22" spans="1:12" ht="75" customHeight="1" x14ac:dyDescent="0.5">
      <c r="A22" s="6">
        <v>19</v>
      </c>
      <c r="B22" s="19" t="s">
        <v>138</v>
      </c>
      <c r="C22" s="19" t="s">
        <v>139</v>
      </c>
      <c r="D22" s="20" t="s">
        <v>140</v>
      </c>
      <c r="E22" s="21" t="s">
        <v>141</v>
      </c>
      <c r="F22" s="22" t="s">
        <v>142</v>
      </c>
      <c r="G22" s="23">
        <v>5</v>
      </c>
      <c r="H22" s="24">
        <v>150000</v>
      </c>
      <c r="I22" s="24">
        <f t="shared" si="1"/>
        <v>751000</v>
      </c>
      <c r="J22" s="25">
        <v>46157</v>
      </c>
      <c r="K22" s="26" t="s">
        <v>12</v>
      </c>
      <c r="L22" s="17" t="s">
        <v>13</v>
      </c>
    </row>
    <row r="23" spans="1:12" ht="75" customHeight="1" x14ac:dyDescent="0.5">
      <c r="A23" s="6">
        <v>20</v>
      </c>
      <c r="B23" s="7" t="s">
        <v>143</v>
      </c>
      <c r="C23" s="7" t="s">
        <v>144</v>
      </c>
      <c r="D23" s="15" t="s">
        <v>145</v>
      </c>
      <c r="E23" s="16" t="s">
        <v>146</v>
      </c>
      <c r="F23" s="8">
        <v>9</v>
      </c>
      <c r="G23" s="9">
        <v>1</v>
      </c>
      <c r="H23" s="10">
        <v>150000</v>
      </c>
      <c r="I23" s="10">
        <f t="shared" si="1"/>
        <v>151000</v>
      </c>
      <c r="J23" s="11">
        <v>46157</v>
      </c>
      <c r="K23" s="12" t="s">
        <v>12</v>
      </c>
      <c r="L23" s="17" t="s">
        <v>13</v>
      </c>
    </row>
    <row r="24" spans="1:12" ht="75" customHeight="1" x14ac:dyDescent="0.5">
      <c r="A24" s="6">
        <v>21</v>
      </c>
      <c r="B24" s="7" t="s">
        <v>93</v>
      </c>
      <c r="C24" s="7" t="s">
        <v>131</v>
      </c>
      <c r="D24" s="15" t="s">
        <v>147</v>
      </c>
      <c r="E24" s="16"/>
      <c r="F24" s="8">
        <v>35</v>
      </c>
      <c r="G24" s="9">
        <v>1</v>
      </c>
      <c r="H24" s="10">
        <v>150000</v>
      </c>
      <c r="I24" s="10">
        <f t="shared" si="1"/>
        <v>151000</v>
      </c>
      <c r="J24" s="11">
        <v>46157</v>
      </c>
      <c r="K24" s="12" t="s">
        <v>12</v>
      </c>
      <c r="L24" s="17" t="s">
        <v>13</v>
      </c>
    </row>
    <row r="25" spans="1:12" ht="75" customHeight="1" x14ac:dyDescent="0.5">
      <c r="A25" s="6">
        <v>22</v>
      </c>
      <c r="B25" s="19" t="s">
        <v>93</v>
      </c>
      <c r="C25" s="19" t="s">
        <v>131</v>
      </c>
      <c r="D25" s="20" t="s">
        <v>148</v>
      </c>
      <c r="E25" s="21" t="s">
        <v>133</v>
      </c>
      <c r="F25" s="22">
        <v>11</v>
      </c>
      <c r="G25" s="23">
        <v>1</v>
      </c>
      <c r="H25" s="24">
        <v>150000</v>
      </c>
      <c r="I25" s="24">
        <f t="shared" si="1"/>
        <v>151000</v>
      </c>
      <c r="J25" s="25">
        <v>46157</v>
      </c>
      <c r="K25" s="26" t="s">
        <v>12</v>
      </c>
      <c r="L25" s="17" t="s">
        <v>13</v>
      </c>
    </row>
    <row r="26" spans="1:12" ht="75" customHeight="1" x14ac:dyDescent="0.5">
      <c r="A26" s="6">
        <v>23</v>
      </c>
      <c r="B26" s="19" t="s">
        <v>97</v>
      </c>
      <c r="C26" s="19" t="s">
        <v>149</v>
      </c>
      <c r="D26" s="20" t="s">
        <v>150</v>
      </c>
      <c r="E26" s="21" t="s">
        <v>151</v>
      </c>
      <c r="F26" s="22" t="s">
        <v>152</v>
      </c>
      <c r="G26" s="23">
        <v>4</v>
      </c>
      <c r="H26" s="24">
        <v>150000</v>
      </c>
      <c r="I26" s="24">
        <f t="shared" si="1"/>
        <v>601000</v>
      </c>
      <c r="J26" s="25">
        <v>46157</v>
      </c>
      <c r="K26" s="26" t="s">
        <v>12</v>
      </c>
      <c r="L26" s="17" t="s">
        <v>13</v>
      </c>
    </row>
    <row r="27" spans="1:12" ht="75" customHeight="1" x14ac:dyDescent="0.5">
      <c r="A27" s="6">
        <v>24</v>
      </c>
      <c r="B27" s="19" t="s">
        <v>153</v>
      </c>
      <c r="C27" s="19" t="s">
        <v>154</v>
      </c>
      <c r="D27" s="20" t="s">
        <v>155</v>
      </c>
      <c r="E27" s="21" t="s">
        <v>156</v>
      </c>
      <c r="F27" s="22">
        <v>32</v>
      </c>
      <c r="G27" s="23">
        <v>1</v>
      </c>
      <c r="H27" s="24">
        <v>150000</v>
      </c>
      <c r="I27" s="24">
        <f t="shared" si="1"/>
        <v>151000</v>
      </c>
      <c r="J27" s="25">
        <v>46157</v>
      </c>
      <c r="K27" s="26" t="s">
        <v>12</v>
      </c>
      <c r="L27" s="17" t="s">
        <v>13</v>
      </c>
    </row>
    <row r="28" spans="1:12" ht="75" customHeight="1" x14ac:dyDescent="0.5">
      <c r="A28" s="6">
        <v>25</v>
      </c>
      <c r="B28" s="19" t="s">
        <v>143</v>
      </c>
      <c r="C28" s="19" t="s">
        <v>157</v>
      </c>
      <c r="D28" s="20" t="s">
        <v>158</v>
      </c>
      <c r="E28" s="21" t="s">
        <v>159</v>
      </c>
      <c r="F28" s="22" t="s">
        <v>160</v>
      </c>
      <c r="G28" s="23">
        <v>2</v>
      </c>
      <c r="H28" s="24">
        <v>150000</v>
      </c>
      <c r="I28" s="24">
        <f t="shared" si="1"/>
        <v>301000</v>
      </c>
      <c r="J28" s="25">
        <v>46157</v>
      </c>
      <c r="K28" s="26" t="s">
        <v>12</v>
      </c>
      <c r="L28" s="17" t="s">
        <v>13</v>
      </c>
    </row>
    <row r="29" spans="1:12" ht="75" customHeight="1" x14ac:dyDescent="0.25">
      <c r="A29" s="30" t="s">
        <v>9</v>
      </c>
      <c r="B29" s="31"/>
      <c r="C29" s="31"/>
      <c r="D29" s="31"/>
      <c r="E29" s="31"/>
      <c r="F29" s="31"/>
      <c r="G29" s="31"/>
      <c r="H29" s="32"/>
      <c r="I29" s="13">
        <f>SUM(I4:I28)</f>
        <v>7825000</v>
      </c>
      <c r="J29" s="14"/>
    </row>
  </sheetData>
  <mergeCells count="2">
    <mergeCell ref="A1:I1"/>
    <mergeCell ref="A29:H29"/>
  </mergeCells>
  <pageMargins left="0.7" right="0.7" top="0.75" bottom="0.75" header="0.3" footer="0.3"/>
  <pageSetup orientation="portrait" horizontalDpi="1200" verticalDpi="1200" r:id="rId1"/>
  <ignoredErrors>
    <ignoredError sqref="F14" twoDigitTextYear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778E7-D174-4ECC-9D33-3E204863E298}">
  <dimension ref="A1:L12"/>
  <sheetViews>
    <sheetView zoomScaleNormal="100" workbookViewId="0">
      <selection activeCell="D8" sqref="D8"/>
    </sheetView>
  </sheetViews>
  <sheetFormatPr defaultRowHeight="15" x14ac:dyDescent="0.25"/>
  <cols>
    <col min="1" max="1" width="9.140625" style="2"/>
    <col min="2" max="2" width="30.7109375" style="2" customWidth="1"/>
    <col min="3" max="3" width="38.7109375" style="2" bestFit="1" customWidth="1"/>
    <col min="4" max="4" width="19.140625" style="2" bestFit="1" customWidth="1"/>
    <col min="5" max="5" width="30.7109375" style="2" customWidth="1"/>
    <col min="6" max="6" width="21.85546875" style="2" customWidth="1"/>
    <col min="7" max="7" width="20.42578125" style="2" bestFit="1" customWidth="1"/>
    <col min="8" max="8" width="11.140625" style="2" bestFit="1" customWidth="1"/>
    <col min="9" max="9" width="16.7109375" style="2" bestFit="1" customWidth="1"/>
    <col min="10" max="10" width="16.7109375" style="2" customWidth="1"/>
    <col min="11" max="11" width="18.140625" style="2" bestFit="1" customWidth="1"/>
    <col min="12" max="12" width="17.7109375" style="2" bestFit="1" customWidth="1"/>
    <col min="13" max="16384" width="9.140625" style="2"/>
  </cols>
  <sheetData>
    <row r="1" spans="1:12" ht="2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1"/>
    </row>
    <row r="2" spans="1:12" ht="21" x14ac:dyDescent="0.35">
      <c r="A2" s="1"/>
      <c r="B2" s="1"/>
      <c r="C2" s="1"/>
      <c r="D2" s="1"/>
      <c r="E2" s="1"/>
      <c r="F2" s="27" t="s">
        <v>119</v>
      </c>
      <c r="G2" s="1"/>
      <c r="H2" s="1"/>
      <c r="K2" s="3">
        <v>46163</v>
      </c>
    </row>
    <row r="3" spans="1:12" ht="18.7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75" customHeight="1" x14ac:dyDescent="0.5">
      <c r="A4" s="6">
        <v>1</v>
      </c>
      <c r="B4" s="7" t="s">
        <v>161</v>
      </c>
      <c r="C4" s="7" t="s">
        <v>162</v>
      </c>
      <c r="D4" s="15" t="s">
        <v>163</v>
      </c>
      <c r="E4" s="16" t="s">
        <v>164</v>
      </c>
      <c r="F4" s="8">
        <v>3</v>
      </c>
      <c r="G4" s="9">
        <v>1</v>
      </c>
      <c r="H4" s="10">
        <v>150000</v>
      </c>
      <c r="I4" s="10">
        <f t="shared" ref="I4:I11" si="0">G4*H4+1000</f>
        <v>151000</v>
      </c>
      <c r="J4" s="11">
        <v>46163</v>
      </c>
      <c r="K4" s="12" t="s">
        <v>18</v>
      </c>
      <c r="L4" s="17"/>
    </row>
    <row r="5" spans="1:12" ht="75" customHeight="1" x14ac:dyDescent="0.25">
      <c r="A5" s="6">
        <v>2</v>
      </c>
      <c r="B5" s="7" t="s">
        <v>165</v>
      </c>
      <c r="C5" s="7" t="s">
        <v>165</v>
      </c>
      <c r="D5" s="15" t="s">
        <v>166</v>
      </c>
      <c r="E5" s="18" t="s">
        <v>167</v>
      </c>
      <c r="F5" s="8">
        <v>3</v>
      </c>
      <c r="G5" s="9">
        <v>1</v>
      </c>
      <c r="H5" s="10">
        <v>150000</v>
      </c>
      <c r="I5" s="10">
        <f t="shared" si="0"/>
        <v>151000</v>
      </c>
      <c r="J5" s="11">
        <v>46163</v>
      </c>
      <c r="K5" s="12" t="s">
        <v>18</v>
      </c>
      <c r="L5" s="17"/>
    </row>
    <row r="6" spans="1:12" ht="75" customHeight="1" x14ac:dyDescent="0.25">
      <c r="A6" s="6">
        <v>3</v>
      </c>
      <c r="B6" s="7" t="s">
        <v>168</v>
      </c>
      <c r="C6" s="7" t="s">
        <v>169</v>
      </c>
      <c r="D6" s="15" t="s">
        <v>170</v>
      </c>
      <c r="E6" s="18" t="s">
        <v>171</v>
      </c>
      <c r="F6" s="8" t="s">
        <v>172</v>
      </c>
      <c r="G6" s="9">
        <v>13</v>
      </c>
      <c r="H6" s="10">
        <v>150000</v>
      </c>
      <c r="I6" s="10">
        <f t="shared" si="0"/>
        <v>1951000</v>
      </c>
      <c r="J6" s="11">
        <v>46163</v>
      </c>
      <c r="K6" s="12" t="s">
        <v>12</v>
      </c>
      <c r="L6" s="17"/>
    </row>
    <row r="7" spans="1:12" ht="75" customHeight="1" x14ac:dyDescent="0.25">
      <c r="A7" s="6">
        <v>4</v>
      </c>
      <c r="B7" s="7" t="s">
        <v>168</v>
      </c>
      <c r="C7" s="7" t="s">
        <v>169</v>
      </c>
      <c r="D7" s="15" t="s">
        <v>173</v>
      </c>
      <c r="E7" s="18" t="s">
        <v>174</v>
      </c>
      <c r="F7" s="8" t="s">
        <v>172</v>
      </c>
      <c r="G7" s="9">
        <v>13</v>
      </c>
      <c r="H7" s="10">
        <v>150000</v>
      </c>
      <c r="I7" s="10">
        <f t="shared" si="0"/>
        <v>1951000</v>
      </c>
      <c r="J7" s="11">
        <v>46163</v>
      </c>
      <c r="K7" s="12" t="s">
        <v>12</v>
      </c>
      <c r="L7" s="17"/>
    </row>
    <row r="8" spans="1:12" ht="75" customHeight="1" x14ac:dyDescent="0.5">
      <c r="A8" s="6">
        <v>5</v>
      </c>
      <c r="B8" s="19" t="s">
        <v>175</v>
      </c>
      <c r="C8" s="19" t="s">
        <v>176</v>
      </c>
      <c r="D8" s="20" t="s">
        <v>177</v>
      </c>
      <c r="E8" s="21" t="s">
        <v>178</v>
      </c>
      <c r="F8" s="22">
        <v>33</v>
      </c>
      <c r="G8" s="23">
        <v>1</v>
      </c>
      <c r="H8" s="24">
        <v>150000</v>
      </c>
      <c r="I8" s="24">
        <f t="shared" si="0"/>
        <v>151000</v>
      </c>
      <c r="J8" s="25">
        <v>46163</v>
      </c>
      <c r="K8" s="26" t="s">
        <v>12</v>
      </c>
      <c r="L8" s="17" t="s">
        <v>13</v>
      </c>
    </row>
    <row r="9" spans="1:12" ht="75" customHeight="1" x14ac:dyDescent="0.5">
      <c r="A9" s="6">
        <v>6</v>
      </c>
      <c r="B9" s="19" t="s">
        <v>179</v>
      </c>
      <c r="C9" s="19" t="s">
        <v>180</v>
      </c>
      <c r="D9" s="20" t="s">
        <v>181</v>
      </c>
      <c r="E9" s="21" t="s">
        <v>182</v>
      </c>
      <c r="F9" s="22">
        <v>41</v>
      </c>
      <c r="G9" s="23">
        <v>1</v>
      </c>
      <c r="H9" s="24">
        <v>150000</v>
      </c>
      <c r="I9" s="24">
        <f t="shared" si="0"/>
        <v>151000</v>
      </c>
      <c r="J9" s="25">
        <v>46163</v>
      </c>
      <c r="K9" s="26" t="s">
        <v>12</v>
      </c>
      <c r="L9" s="17" t="s">
        <v>13</v>
      </c>
    </row>
    <row r="10" spans="1:12" ht="75" customHeight="1" x14ac:dyDescent="0.5">
      <c r="A10" s="6">
        <v>7</v>
      </c>
      <c r="B10" s="19" t="s">
        <v>179</v>
      </c>
      <c r="C10" s="19" t="s">
        <v>180</v>
      </c>
      <c r="D10" s="20" t="s">
        <v>183</v>
      </c>
      <c r="E10" s="21" t="s">
        <v>182</v>
      </c>
      <c r="F10" s="22">
        <v>41</v>
      </c>
      <c r="G10" s="23">
        <v>1</v>
      </c>
      <c r="H10" s="24">
        <v>150000</v>
      </c>
      <c r="I10" s="24">
        <f t="shared" si="0"/>
        <v>151000</v>
      </c>
      <c r="J10" s="25">
        <v>46163</v>
      </c>
      <c r="K10" s="26" t="s">
        <v>12</v>
      </c>
      <c r="L10" s="17" t="s">
        <v>13</v>
      </c>
    </row>
    <row r="11" spans="1:12" ht="75" customHeight="1" x14ac:dyDescent="0.25">
      <c r="A11" s="6">
        <v>8</v>
      </c>
      <c r="B11" s="7" t="s">
        <v>184</v>
      </c>
      <c r="C11" s="7" t="s">
        <v>185</v>
      </c>
      <c r="D11" s="15" t="s">
        <v>186</v>
      </c>
      <c r="E11" s="18" t="s">
        <v>187</v>
      </c>
      <c r="F11" s="8">
        <v>17</v>
      </c>
      <c r="G11" s="9">
        <v>1</v>
      </c>
      <c r="H11" s="10">
        <v>150000</v>
      </c>
      <c r="I11" s="10">
        <f t="shared" si="0"/>
        <v>151000</v>
      </c>
      <c r="J11" s="11">
        <v>46163</v>
      </c>
      <c r="K11" s="12" t="s">
        <v>12</v>
      </c>
      <c r="L11" s="17" t="s">
        <v>188</v>
      </c>
    </row>
    <row r="12" spans="1:12" ht="75" customHeight="1" x14ac:dyDescent="0.25">
      <c r="A12" s="30" t="s">
        <v>9</v>
      </c>
      <c r="B12" s="31"/>
      <c r="C12" s="31"/>
      <c r="D12" s="31"/>
      <c r="E12" s="31"/>
      <c r="F12" s="31"/>
      <c r="G12" s="31"/>
      <c r="H12" s="32"/>
      <c r="I12" s="13">
        <f>SUM(I4:I11)</f>
        <v>4808000</v>
      </c>
      <c r="J12" s="14"/>
    </row>
  </sheetData>
  <mergeCells count="2">
    <mergeCell ref="A1:I1"/>
    <mergeCell ref="A12:H12"/>
  </mergeCells>
  <pageMargins left="0.7" right="0.7" top="0.75" bottom="0.75" header="0.3" footer="0.3"/>
  <pageSetup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7A6F2-3626-4CC8-BF30-1245F9BFFC4E}">
  <dimension ref="A1:L33"/>
  <sheetViews>
    <sheetView zoomScaleNormal="100" workbookViewId="0">
      <selection activeCell="F2" sqref="F2"/>
    </sheetView>
  </sheetViews>
  <sheetFormatPr defaultRowHeight="15" x14ac:dyDescent="0.25"/>
  <cols>
    <col min="1" max="1" width="9.140625" style="2"/>
    <col min="2" max="2" width="30.7109375" style="2" customWidth="1"/>
    <col min="3" max="3" width="38.7109375" style="2" bestFit="1" customWidth="1"/>
    <col min="4" max="4" width="19.140625" style="2" bestFit="1" customWidth="1"/>
    <col min="5" max="5" width="30.7109375" style="2" customWidth="1"/>
    <col min="6" max="6" width="21.85546875" style="2" customWidth="1"/>
    <col min="7" max="7" width="20.42578125" style="2" bestFit="1" customWidth="1"/>
    <col min="8" max="8" width="11.140625" style="2" bestFit="1" customWidth="1"/>
    <col min="9" max="9" width="16.7109375" style="2" bestFit="1" customWidth="1"/>
    <col min="10" max="10" width="16.7109375" style="2" customWidth="1"/>
    <col min="11" max="11" width="18.140625" style="2" bestFit="1" customWidth="1"/>
    <col min="12" max="12" width="17.7109375" style="2" bestFit="1" customWidth="1"/>
    <col min="13" max="16384" width="9.140625" style="2"/>
  </cols>
  <sheetData>
    <row r="1" spans="1:12" ht="2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1"/>
    </row>
    <row r="2" spans="1:12" ht="21" x14ac:dyDescent="0.35">
      <c r="A2" s="1"/>
      <c r="B2" s="1"/>
      <c r="C2" s="1"/>
      <c r="D2" s="1"/>
      <c r="E2" s="1"/>
      <c r="F2" s="27" t="s">
        <v>119</v>
      </c>
      <c r="G2" s="1"/>
      <c r="H2" s="1"/>
      <c r="K2" s="3">
        <v>46164</v>
      </c>
    </row>
    <row r="3" spans="1:12" ht="18.7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75" customHeight="1" x14ac:dyDescent="0.25">
      <c r="A4" s="6">
        <v>1</v>
      </c>
      <c r="B4" s="7" t="s">
        <v>168</v>
      </c>
      <c r="C4" s="7" t="s">
        <v>168</v>
      </c>
      <c r="D4" s="15" t="s">
        <v>189</v>
      </c>
      <c r="E4" s="18" t="s">
        <v>190</v>
      </c>
      <c r="F4" s="8" t="s">
        <v>191</v>
      </c>
      <c r="G4" s="9">
        <v>3</v>
      </c>
      <c r="H4" s="10">
        <v>150000</v>
      </c>
      <c r="I4" s="10">
        <f t="shared" ref="I4:I28" si="0">G4*H4+1000</f>
        <v>451000</v>
      </c>
      <c r="J4" s="11">
        <v>46164</v>
      </c>
      <c r="K4" s="12" t="s">
        <v>12</v>
      </c>
      <c r="L4" s="17"/>
    </row>
    <row r="5" spans="1:12" ht="75" customHeight="1" x14ac:dyDescent="0.25">
      <c r="A5" s="6">
        <v>2</v>
      </c>
      <c r="B5" s="7" t="s">
        <v>168</v>
      </c>
      <c r="C5" s="7" t="s">
        <v>168</v>
      </c>
      <c r="D5" s="15" t="s">
        <v>192</v>
      </c>
      <c r="E5" s="18" t="s">
        <v>193</v>
      </c>
      <c r="F5" s="8" t="s">
        <v>191</v>
      </c>
      <c r="G5" s="9">
        <v>3</v>
      </c>
      <c r="H5" s="10">
        <v>150000</v>
      </c>
      <c r="I5" s="10">
        <f t="shared" si="0"/>
        <v>451000</v>
      </c>
      <c r="J5" s="11">
        <v>46164</v>
      </c>
      <c r="K5" s="12" t="s">
        <v>12</v>
      </c>
      <c r="L5" s="17"/>
    </row>
    <row r="6" spans="1:12" ht="75" customHeight="1" x14ac:dyDescent="0.25">
      <c r="A6" s="6">
        <v>3</v>
      </c>
      <c r="B6" s="7" t="s">
        <v>168</v>
      </c>
      <c r="C6" s="7" t="s">
        <v>168</v>
      </c>
      <c r="D6" s="15" t="s">
        <v>194</v>
      </c>
      <c r="E6" s="18" t="s">
        <v>195</v>
      </c>
      <c r="F6" s="8" t="s">
        <v>191</v>
      </c>
      <c r="G6" s="9">
        <v>3</v>
      </c>
      <c r="H6" s="10">
        <v>150000</v>
      </c>
      <c r="I6" s="10">
        <f t="shared" si="0"/>
        <v>451000</v>
      </c>
      <c r="J6" s="11">
        <v>46164</v>
      </c>
      <c r="K6" s="12" t="s">
        <v>12</v>
      </c>
      <c r="L6" s="17"/>
    </row>
    <row r="7" spans="1:12" ht="75" customHeight="1" x14ac:dyDescent="0.25">
      <c r="A7" s="6">
        <v>4</v>
      </c>
      <c r="B7" s="7" t="s">
        <v>168</v>
      </c>
      <c r="C7" s="7" t="s">
        <v>168</v>
      </c>
      <c r="D7" s="15" t="s">
        <v>196</v>
      </c>
      <c r="E7" s="18" t="s">
        <v>197</v>
      </c>
      <c r="F7" s="8" t="s">
        <v>191</v>
      </c>
      <c r="G7" s="9">
        <v>3</v>
      </c>
      <c r="H7" s="10">
        <v>150000</v>
      </c>
      <c r="I7" s="10">
        <f t="shared" si="0"/>
        <v>451000</v>
      </c>
      <c r="J7" s="11">
        <v>46164</v>
      </c>
      <c r="K7" s="12" t="s">
        <v>12</v>
      </c>
      <c r="L7" s="17"/>
    </row>
    <row r="8" spans="1:12" ht="75" customHeight="1" x14ac:dyDescent="0.25">
      <c r="A8" s="6">
        <v>5</v>
      </c>
      <c r="B8" s="7" t="s">
        <v>168</v>
      </c>
      <c r="C8" s="7" t="s">
        <v>168</v>
      </c>
      <c r="D8" s="15" t="s">
        <v>198</v>
      </c>
      <c r="E8" s="18" t="s">
        <v>199</v>
      </c>
      <c r="F8" s="8" t="s">
        <v>191</v>
      </c>
      <c r="G8" s="9">
        <v>3</v>
      </c>
      <c r="H8" s="10">
        <v>150000</v>
      </c>
      <c r="I8" s="10">
        <f t="shared" si="0"/>
        <v>451000</v>
      </c>
      <c r="J8" s="11">
        <v>46164</v>
      </c>
      <c r="K8" s="12" t="s">
        <v>12</v>
      </c>
      <c r="L8" s="17"/>
    </row>
    <row r="9" spans="1:12" ht="75" customHeight="1" x14ac:dyDescent="0.25">
      <c r="A9" s="6">
        <v>6</v>
      </c>
      <c r="B9" s="7" t="s">
        <v>168</v>
      </c>
      <c r="C9" s="7" t="s">
        <v>168</v>
      </c>
      <c r="D9" s="15" t="s">
        <v>200</v>
      </c>
      <c r="E9" s="18" t="s">
        <v>201</v>
      </c>
      <c r="F9" s="8" t="s">
        <v>191</v>
      </c>
      <c r="G9" s="9">
        <v>3</v>
      </c>
      <c r="H9" s="10">
        <v>150000</v>
      </c>
      <c r="I9" s="10">
        <f t="shared" si="0"/>
        <v>451000</v>
      </c>
      <c r="J9" s="11">
        <v>46164</v>
      </c>
      <c r="K9" s="12" t="s">
        <v>12</v>
      </c>
      <c r="L9" s="17"/>
    </row>
    <row r="10" spans="1:12" ht="75" customHeight="1" x14ac:dyDescent="0.25">
      <c r="A10" s="6">
        <v>7</v>
      </c>
      <c r="B10" s="7" t="s">
        <v>168</v>
      </c>
      <c r="C10" s="7" t="s">
        <v>168</v>
      </c>
      <c r="D10" s="15" t="s">
        <v>202</v>
      </c>
      <c r="E10" s="18" t="s">
        <v>203</v>
      </c>
      <c r="F10" s="8" t="s">
        <v>191</v>
      </c>
      <c r="G10" s="9">
        <v>3</v>
      </c>
      <c r="H10" s="10">
        <v>150000</v>
      </c>
      <c r="I10" s="10">
        <f t="shared" si="0"/>
        <v>451000</v>
      </c>
      <c r="J10" s="11">
        <v>46164</v>
      </c>
      <c r="K10" s="12" t="s">
        <v>12</v>
      </c>
      <c r="L10" s="17"/>
    </row>
    <row r="11" spans="1:12" ht="75" customHeight="1" x14ac:dyDescent="0.25">
      <c r="A11" s="6">
        <v>8</v>
      </c>
      <c r="B11" s="7" t="s">
        <v>168</v>
      </c>
      <c r="C11" s="7" t="s">
        <v>168</v>
      </c>
      <c r="D11" s="15" t="s">
        <v>204</v>
      </c>
      <c r="E11" s="18" t="s">
        <v>205</v>
      </c>
      <c r="F11" s="8" t="s">
        <v>191</v>
      </c>
      <c r="G11" s="9">
        <v>3</v>
      </c>
      <c r="H11" s="10">
        <v>150000</v>
      </c>
      <c r="I11" s="10">
        <f t="shared" si="0"/>
        <v>451000</v>
      </c>
      <c r="J11" s="11">
        <v>46164</v>
      </c>
      <c r="K11" s="12" t="s">
        <v>12</v>
      </c>
      <c r="L11" s="17"/>
    </row>
    <row r="12" spans="1:12" ht="75" customHeight="1" x14ac:dyDescent="0.25">
      <c r="A12" s="6">
        <v>9</v>
      </c>
      <c r="B12" s="7" t="s">
        <v>168</v>
      </c>
      <c r="C12" s="7" t="s">
        <v>168</v>
      </c>
      <c r="D12" s="15" t="s">
        <v>206</v>
      </c>
      <c r="E12" s="18" t="s">
        <v>207</v>
      </c>
      <c r="F12" s="8" t="s">
        <v>191</v>
      </c>
      <c r="G12" s="9">
        <v>3</v>
      </c>
      <c r="H12" s="10">
        <v>150000</v>
      </c>
      <c r="I12" s="10">
        <f t="shared" si="0"/>
        <v>451000</v>
      </c>
      <c r="J12" s="11">
        <v>46164</v>
      </c>
      <c r="K12" s="12" t="s">
        <v>12</v>
      </c>
      <c r="L12" s="17"/>
    </row>
    <row r="13" spans="1:12" ht="75" customHeight="1" x14ac:dyDescent="0.25">
      <c r="A13" s="6">
        <v>10</v>
      </c>
      <c r="B13" s="7" t="s">
        <v>168</v>
      </c>
      <c r="C13" s="7" t="s">
        <v>168</v>
      </c>
      <c r="D13" s="15" t="s">
        <v>208</v>
      </c>
      <c r="E13" s="18" t="s">
        <v>209</v>
      </c>
      <c r="F13" s="8" t="s">
        <v>191</v>
      </c>
      <c r="G13" s="9">
        <v>3</v>
      </c>
      <c r="H13" s="10">
        <v>150000</v>
      </c>
      <c r="I13" s="10">
        <f t="shared" si="0"/>
        <v>451000</v>
      </c>
      <c r="J13" s="11">
        <v>46164</v>
      </c>
      <c r="K13" s="12" t="s">
        <v>12</v>
      </c>
      <c r="L13" s="17"/>
    </row>
    <row r="14" spans="1:12" ht="75" customHeight="1" x14ac:dyDescent="0.25">
      <c r="A14" s="6">
        <v>11</v>
      </c>
      <c r="B14" s="7" t="s">
        <v>168</v>
      </c>
      <c r="C14" s="7" t="s">
        <v>168</v>
      </c>
      <c r="D14" s="15" t="s">
        <v>210</v>
      </c>
      <c r="E14" s="18" t="s">
        <v>211</v>
      </c>
      <c r="F14" s="8" t="s">
        <v>191</v>
      </c>
      <c r="G14" s="9">
        <v>3</v>
      </c>
      <c r="H14" s="10">
        <v>150000</v>
      </c>
      <c r="I14" s="10">
        <f t="shared" si="0"/>
        <v>451000</v>
      </c>
      <c r="J14" s="11">
        <v>46164</v>
      </c>
      <c r="K14" s="12" t="s">
        <v>12</v>
      </c>
      <c r="L14" s="17"/>
    </row>
    <row r="15" spans="1:12" ht="75" customHeight="1" x14ac:dyDescent="0.5">
      <c r="A15" s="6">
        <v>12</v>
      </c>
      <c r="B15" s="19" t="s">
        <v>179</v>
      </c>
      <c r="C15" s="19" t="s">
        <v>212</v>
      </c>
      <c r="D15" s="20" t="s">
        <v>213</v>
      </c>
      <c r="E15" s="21" t="s">
        <v>214</v>
      </c>
      <c r="F15" s="22">
        <v>5</v>
      </c>
      <c r="G15" s="23">
        <v>1</v>
      </c>
      <c r="H15" s="24">
        <v>150000</v>
      </c>
      <c r="I15" s="24">
        <f t="shared" si="0"/>
        <v>151000</v>
      </c>
      <c r="J15" s="25">
        <v>46164</v>
      </c>
      <c r="K15" s="26" t="s">
        <v>12</v>
      </c>
      <c r="L15" s="17"/>
    </row>
    <row r="16" spans="1:12" ht="75" customHeight="1" x14ac:dyDescent="0.5">
      <c r="A16" s="6">
        <v>13</v>
      </c>
      <c r="B16" s="19" t="s">
        <v>179</v>
      </c>
      <c r="C16" s="19" t="s">
        <v>215</v>
      </c>
      <c r="D16" s="20" t="s">
        <v>216</v>
      </c>
      <c r="E16" s="21" t="s">
        <v>217</v>
      </c>
      <c r="F16" s="22">
        <v>5</v>
      </c>
      <c r="G16" s="23">
        <v>1</v>
      </c>
      <c r="H16" s="24">
        <v>150000</v>
      </c>
      <c r="I16" s="24">
        <f t="shared" si="0"/>
        <v>151000</v>
      </c>
      <c r="J16" s="25">
        <v>46164</v>
      </c>
      <c r="K16" s="26" t="s">
        <v>12</v>
      </c>
      <c r="L16" s="17"/>
    </row>
    <row r="17" spans="1:12" ht="75" customHeight="1" x14ac:dyDescent="0.5">
      <c r="A17" s="6">
        <v>14</v>
      </c>
      <c r="B17" s="19" t="s">
        <v>222</v>
      </c>
      <c r="C17" s="19" t="s">
        <v>223</v>
      </c>
      <c r="D17" s="20" t="s">
        <v>224</v>
      </c>
      <c r="E17" s="21" t="s">
        <v>225</v>
      </c>
      <c r="F17" s="22" t="s">
        <v>226</v>
      </c>
      <c r="G17" s="23">
        <v>2</v>
      </c>
      <c r="H17" s="24">
        <v>150000</v>
      </c>
      <c r="I17" s="24">
        <f t="shared" si="0"/>
        <v>301000</v>
      </c>
      <c r="J17" s="25">
        <v>46164</v>
      </c>
      <c r="K17" s="26" t="s">
        <v>12</v>
      </c>
      <c r="L17" s="17" t="s">
        <v>13</v>
      </c>
    </row>
    <row r="18" spans="1:12" ht="75" customHeight="1" x14ac:dyDescent="0.5">
      <c r="A18" s="6">
        <v>15</v>
      </c>
      <c r="B18" s="19" t="s">
        <v>227</v>
      </c>
      <c r="C18" s="19" t="s">
        <v>228</v>
      </c>
      <c r="D18" s="20" t="s">
        <v>229</v>
      </c>
      <c r="E18" s="21">
        <v>360</v>
      </c>
      <c r="F18" s="22">
        <v>9</v>
      </c>
      <c r="G18" s="23">
        <v>1</v>
      </c>
      <c r="H18" s="24">
        <v>150000</v>
      </c>
      <c r="I18" s="24">
        <f t="shared" si="0"/>
        <v>151000</v>
      </c>
      <c r="J18" s="25">
        <v>46164</v>
      </c>
      <c r="K18" s="26" t="s">
        <v>12</v>
      </c>
      <c r="L18" s="17" t="s">
        <v>13</v>
      </c>
    </row>
    <row r="19" spans="1:12" ht="75" customHeight="1" x14ac:dyDescent="0.5">
      <c r="A19" s="6">
        <v>16</v>
      </c>
      <c r="B19" s="19" t="s">
        <v>227</v>
      </c>
      <c r="C19" s="19" t="s">
        <v>230</v>
      </c>
      <c r="D19" s="20" t="s">
        <v>231</v>
      </c>
      <c r="E19" s="21" t="s">
        <v>232</v>
      </c>
      <c r="F19" s="22">
        <v>43</v>
      </c>
      <c r="G19" s="23">
        <v>1</v>
      </c>
      <c r="H19" s="24">
        <v>150000</v>
      </c>
      <c r="I19" s="24">
        <f t="shared" si="0"/>
        <v>151000</v>
      </c>
      <c r="J19" s="25">
        <v>46164</v>
      </c>
      <c r="K19" s="26" t="s">
        <v>12</v>
      </c>
      <c r="L19" s="17" t="s">
        <v>13</v>
      </c>
    </row>
    <row r="20" spans="1:12" ht="75" customHeight="1" x14ac:dyDescent="0.25">
      <c r="A20" s="6">
        <v>17</v>
      </c>
      <c r="B20" s="19" t="s">
        <v>222</v>
      </c>
      <c r="C20" s="19" t="s">
        <v>233</v>
      </c>
      <c r="D20" s="20" t="s">
        <v>234</v>
      </c>
      <c r="E20" s="28" t="s">
        <v>235</v>
      </c>
      <c r="F20" s="22">
        <v>3</v>
      </c>
      <c r="G20" s="23">
        <v>1</v>
      </c>
      <c r="H20" s="24">
        <v>150000</v>
      </c>
      <c r="I20" s="24">
        <f t="shared" si="0"/>
        <v>151000</v>
      </c>
      <c r="J20" s="25">
        <v>46164</v>
      </c>
      <c r="K20" s="26" t="s">
        <v>12</v>
      </c>
      <c r="L20" s="17" t="s">
        <v>13</v>
      </c>
    </row>
    <row r="21" spans="1:12" ht="75" customHeight="1" x14ac:dyDescent="0.25">
      <c r="A21" s="6">
        <v>18</v>
      </c>
      <c r="B21" s="19" t="s">
        <v>64</v>
      </c>
      <c r="C21" s="19" t="s">
        <v>165</v>
      </c>
      <c r="D21" s="20" t="s">
        <v>236</v>
      </c>
      <c r="E21" s="28" t="s">
        <v>237</v>
      </c>
      <c r="F21" s="22">
        <v>3</v>
      </c>
      <c r="G21" s="23">
        <v>1</v>
      </c>
      <c r="H21" s="24">
        <v>150000</v>
      </c>
      <c r="I21" s="24">
        <f t="shared" si="0"/>
        <v>151000</v>
      </c>
      <c r="J21" s="25">
        <v>46164</v>
      </c>
      <c r="K21" s="26" t="s">
        <v>12</v>
      </c>
      <c r="L21" s="17" t="s">
        <v>13</v>
      </c>
    </row>
    <row r="22" spans="1:12" ht="75" customHeight="1" x14ac:dyDescent="0.5">
      <c r="A22" s="6">
        <v>19</v>
      </c>
      <c r="B22" s="19" t="s">
        <v>153</v>
      </c>
      <c r="C22" s="19" t="s">
        <v>238</v>
      </c>
      <c r="D22" s="20" t="s">
        <v>239</v>
      </c>
      <c r="E22" s="21"/>
      <c r="F22" s="22">
        <v>12</v>
      </c>
      <c r="G22" s="23">
        <v>1</v>
      </c>
      <c r="H22" s="24">
        <v>150000</v>
      </c>
      <c r="I22" s="24">
        <f t="shared" si="0"/>
        <v>151000</v>
      </c>
      <c r="J22" s="25">
        <v>46164</v>
      </c>
      <c r="K22" s="26" t="s">
        <v>12</v>
      </c>
      <c r="L22" s="17" t="s">
        <v>13</v>
      </c>
    </row>
    <row r="23" spans="1:12" ht="75" customHeight="1" x14ac:dyDescent="0.5">
      <c r="A23" s="6">
        <v>20</v>
      </c>
      <c r="B23" s="19" t="s">
        <v>70</v>
      </c>
      <c r="C23" s="19" t="s">
        <v>240</v>
      </c>
      <c r="D23" s="20" t="s">
        <v>241</v>
      </c>
      <c r="E23" s="21" t="s">
        <v>242</v>
      </c>
      <c r="F23" s="22">
        <v>3</v>
      </c>
      <c r="G23" s="23">
        <v>1</v>
      </c>
      <c r="H23" s="24">
        <v>150000</v>
      </c>
      <c r="I23" s="24">
        <f t="shared" si="0"/>
        <v>151000</v>
      </c>
      <c r="J23" s="25">
        <v>46164</v>
      </c>
      <c r="K23" s="26" t="s">
        <v>12</v>
      </c>
      <c r="L23" s="17" t="s">
        <v>13</v>
      </c>
    </row>
    <row r="24" spans="1:12" ht="75" customHeight="1" x14ac:dyDescent="0.25">
      <c r="A24" s="6">
        <v>21</v>
      </c>
      <c r="B24" s="19" t="s">
        <v>243</v>
      </c>
      <c r="C24" s="19" t="s">
        <v>244</v>
      </c>
      <c r="D24" s="20" t="s">
        <v>245</v>
      </c>
      <c r="E24" s="28" t="s">
        <v>246</v>
      </c>
      <c r="F24" s="22">
        <v>35</v>
      </c>
      <c r="G24" s="23">
        <v>1</v>
      </c>
      <c r="H24" s="24">
        <v>150000</v>
      </c>
      <c r="I24" s="24">
        <f t="shared" si="0"/>
        <v>151000</v>
      </c>
      <c r="J24" s="25">
        <v>46164</v>
      </c>
      <c r="K24" s="26" t="s">
        <v>12</v>
      </c>
      <c r="L24" s="17" t="s">
        <v>13</v>
      </c>
    </row>
    <row r="25" spans="1:12" ht="75" customHeight="1" x14ac:dyDescent="0.25">
      <c r="A25" s="6">
        <v>22</v>
      </c>
      <c r="B25" s="19" t="s">
        <v>243</v>
      </c>
      <c r="C25" s="19" t="s">
        <v>244</v>
      </c>
      <c r="D25" s="20" t="s">
        <v>247</v>
      </c>
      <c r="E25" s="28" t="s">
        <v>248</v>
      </c>
      <c r="F25" s="22">
        <v>14</v>
      </c>
      <c r="G25" s="23">
        <v>1</v>
      </c>
      <c r="H25" s="24">
        <v>150000</v>
      </c>
      <c r="I25" s="24">
        <f t="shared" si="0"/>
        <v>151000</v>
      </c>
      <c r="J25" s="25">
        <v>46164</v>
      </c>
      <c r="K25" s="26" t="s">
        <v>12</v>
      </c>
      <c r="L25" s="17" t="s">
        <v>13</v>
      </c>
    </row>
    <row r="26" spans="1:12" ht="75" customHeight="1" x14ac:dyDescent="0.25">
      <c r="A26" s="6">
        <v>23</v>
      </c>
      <c r="B26" s="19" t="s">
        <v>243</v>
      </c>
      <c r="C26" s="19" t="s">
        <v>244</v>
      </c>
      <c r="D26" s="20" t="s">
        <v>249</v>
      </c>
      <c r="E26" s="28" t="s">
        <v>250</v>
      </c>
      <c r="F26" s="22" t="s">
        <v>251</v>
      </c>
      <c r="G26" s="23">
        <v>2</v>
      </c>
      <c r="H26" s="24">
        <v>150000</v>
      </c>
      <c r="I26" s="24">
        <f t="shared" si="0"/>
        <v>301000</v>
      </c>
      <c r="J26" s="25">
        <v>46164</v>
      </c>
      <c r="K26" s="26" t="s">
        <v>12</v>
      </c>
      <c r="L26" s="17" t="s">
        <v>13</v>
      </c>
    </row>
    <row r="27" spans="1:12" ht="75" customHeight="1" x14ac:dyDescent="0.25">
      <c r="A27" s="6">
        <v>24</v>
      </c>
      <c r="B27" s="19" t="s">
        <v>243</v>
      </c>
      <c r="C27" s="19" t="s">
        <v>252</v>
      </c>
      <c r="D27" s="20" t="s">
        <v>253</v>
      </c>
      <c r="E27" s="28" t="s">
        <v>254</v>
      </c>
      <c r="F27" s="22">
        <v>14</v>
      </c>
      <c r="G27" s="23">
        <v>1</v>
      </c>
      <c r="H27" s="24">
        <v>150000</v>
      </c>
      <c r="I27" s="24">
        <f t="shared" si="0"/>
        <v>151000</v>
      </c>
      <c r="J27" s="25">
        <v>46164</v>
      </c>
      <c r="K27" s="26" t="s">
        <v>12</v>
      </c>
      <c r="L27" s="17" t="s">
        <v>13</v>
      </c>
    </row>
    <row r="28" spans="1:12" ht="75" customHeight="1" x14ac:dyDescent="0.5">
      <c r="A28" s="6">
        <v>25</v>
      </c>
      <c r="B28" s="19" t="s">
        <v>243</v>
      </c>
      <c r="C28" s="19" t="s">
        <v>252</v>
      </c>
      <c r="D28" s="20" t="s">
        <v>255</v>
      </c>
      <c r="E28" s="21" t="s">
        <v>256</v>
      </c>
      <c r="F28" s="22">
        <v>14</v>
      </c>
      <c r="G28" s="23">
        <v>1</v>
      </c>
      <c r="H28" s="24">
        <v>150000</v>
      </c>
      <c r="I28" s="24">
        <f t="shared" si="0"/>
        <v>151000</v>
      </c>
      <c r="J28" s="25">
        <v>46164</v>
      </c>
      <c r="K28" s="26" t="s">
        <v>12</v>
      </c>
      <c r="L28" s="17" t="s">
        <v>13</v>
      </c>
    </row>
    <row r="29" spans="1:12" ht="75" customHeight="1" x14ac:dyDescent="0.5">
      <c r="A29" s="6">
        <v>26</v>
      </c>
      <c r="B29" s="19" t="s">
        <v>257</v>
      </c>
      <c r="C29" s="19" t="s">
        <v>258</v>
      </c>
      <c r="D29" s="20" t="s">
        <v>259</v>
      </c>
      <c r="E29" s="21" t="s">
        <v>260</v>
      </c>
      <c r="F29" s="22">
        <v>41</v>
      </c>
      <c r="G29" s="23">
        <v>1</v>
      </c>
      <c r="H29" s="24">
        <v>150000</v>
      </c>
      <c r="I29" s="24">
        <f t="shared" ref="I29:I32" si="1">G29*H29+1000</f>
        <v>151000</v>
      </c>
      <c r="J29" s="25">
        <v>46164</v>
      </c>
      <c r="K29" s="26" t="s">
        <v>12</v>
      </c>
      <c r="L29" s="17" t="s">
        <v>13</v>
      </c>
    </row>
    <row r="30" spans="1:12" ht="75" customHeight="1" x14ac:dyDescent="0.25">
      <c r="A30" s="6">
        <v>27</v>
      </c>
      <c r="B30" s="19" t="s">
        <v>64</v>
      </c>
      <c r="C30" s="19" t="s">
        <v>261</v>
      </c>
      <c r="D30" s="20" t="s">
        <v>262</v>
      </c>
      <c r="E30" s="28" t="s">
        <v>263</v>
      </c>
      <c r="F30" s="22" t="s">
        <v>264</v>
      </c>
      <c r="G30" s="23">
        <v>3</v>
      </c>
      <c r="H30" s="24">
        <v>150000</v>
      </c>
      <c r="I30" s="24">
        <f t="shared" si="1"/>
        <v>451000</v>
      </c>
      <c r="J30" s="25">
        <v>46164</v>
      </c>
      <c r="K30" s="26" t="s">
        <v>12</v>
      </c>
      <c r="L30" s="17" t="s">
        <v>13</v>
      </c>
    </row>
    <row r="31" spans="1:12" ht="75" customHeight="1" x14ac:dyDescent="0.25">
      <c r="A31" s="6">
        <v>28</v>
      </c>
      <c r="B31" s="19" t="s">
        <v>64</v>
      </c>
      <c r="C31" s="19" t="s">
        <v>265</v>
      </c>
      <c r="D31" s="20" t="s">
        <v>266</v>
      </c>
      <c r="E31" s="28" t="s">
        <v>267</v>
      </c>
      <c r="F31" s="22">
        <v>5</v>
      </c>
      <c r="G31" s="23">
        <v>1</v>
      </c>
      <c r="H31" s="24">
        <v>150000</v>
      </c>
      <c r="I31" s="24">
        <f t="shared" si="1"/>
        <v>151000</v>
      </c>
      <c r="J31" s="25">
        <v>46164</v>
      </c>
      <c r="K31" s="26" t="s">
        <v>12</v>
      </c>
      <c r="L31" s="17" t="s">
        <v>13</v>
      </c>
    </row>
    <row r="32" spans="1:12" ht="75" customHeight="1" x14ac:dyDescent="0.5">
      <c r="A32" s="6">
        <v>29</v>
      </c>
      <c r="B32" s="19" t="s">
        <v>75</v>
      </c>
      <c r="C32" s="19" t="s">
        <v>268</v>
      </c>
      <c r="D32" s="20" t="s">
        <v>269</v>
      </c>
      <c r="E32" s="21" t="s">
        <v>270</v>
      </c>
      <c r="F32" s="22">
        <v>25</v>
      </c>
      <c r="G32" s="23">
        <v>1</v>
      </c>
      <c r="H32" s="24">
        <v>150000</v>
      </c>
      <c r="I32" s="24">
        <f t="shared" si="1"/>
        <v>151000</v>
      </c>
      <c r="J32" s="25">
        <v>46164</v>
      </c>
      <c r="K32" s="26" t="s">
        <v>12</v>
      </c>
      <c r="L32" s="17" t="s">
        <v>13</v>
      </c>
    </row>
    <row r="33" spans="1:10" ht="75" customHeight="1" x14ac:dyDescent="0.25">
      <c r="A33" s="30" t="s">
        <v>9</v>
      </c>
      <c r="B33" s="31"/>
      <c r="C33" s="31"/>
      <c r="D33" s="31"/>
      <c r="E33" s="31"/>
      <c r="F33" s="31"/>
      <c r="G33" s="31"/>
      <c r="H33" s="32"/>
      <c r="I33" s="13">
        <f>SUM(I4:I32)</f>
        <v>8279000</v>
      </c>
      <c r="J33" s="14"/>
    </row>
  </sheetData>
  <mergeCells count="2">
    <mergeCell ref="A1:I1"/>
    <mergeCell ref="A33:H33"/>
  </mergeCells>
  <pageMargins left="0.7" right="0.7" top="0.75" bottom="0.75" header="0.3" footer="0.3"/>
  <pageSetup orientation="portrait" horizontalDpi="1200" verticalDpi="1200" r:id="rId1"/>
  <ignoredErrors>
    <ignoredError sqref="F30" twoDigitTextYear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D9243-A4BE-434D-B3E4-EECDBDF31C82}">
  <dimension ref="A1:L6"/>
  <sheetViews>
    <sheetView zoomScaleNormal="100" workbookViewId="0">
      <selection activeCell="F2" sqref="F2"/>
    </sheetView>
  </sheetViews>
  <sheetFormatPr defaultRowHeight="15" x14ac:dyDescent="0.25"/>
  <cols>
    <col min="1" max="1" width="9.140625" style="2"/>
    <col min="2" max="2" width="30.7109375" style="2" customWidth="1"/>
    <col min="3" max="3" width="38.7109375" style="2" bestFit="1" customWidth="1"/>
    <col min="4" max="4" width="19.140625" style="2" bestFit="1" customWidth="1"/>
    <col min="5" max="5" width="30.7109375" style="2" customWidth="1"/>
    <col min="6" max="6" width="21.85546875" style="2" customWidth="1"/>
    <col min="7" max="7" width="20.42578125" style="2" bestFit="1" customWidth="1"/>
    <col min="8" max="8" width="11.140625" style="2" bestFit="1" customWidth="1"/>
    <col min="9" max="9" width="16.7109375" style="2" bestFit="1" customWidth="1"/>
    <col min="10" max="10" width="16.7109375" style="2" customWidth="1"/>
    <col min="11" max="11" width="18.140625" style="2" bestFit="1" customWidth="1"/>
    <col min="12" max="12" width="17.7109375" style="2" bestFit="1" customWidth="1"/>
    <col min="13" max="16384" width="9.140625" style="2"/>
  </cols>
  <sheetData>
    <row r="1" spans="1:12" ht="2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1"/>
    </row>
    <row r="2" spans="1:12" ht="21" x14ac:dyDescent="0.35">
      <c r="A2" s="1"/>
      <c r="B2" s="1"/>
      <c r="C2" s="1"/>
      <c r="D2" s="1"/>
      <c r="E2" s="1"/>
      <c r="F2" s="17"/>
      <c r="G2" s="1"/>
      <c r="H2" s="1"/>
      <c r="K2" s="3">
        <v>46167</v>
      </c>
    </row>
    <row r="3" spans="1:12" ht="18.7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75" customHeight="1" x14ac:dyDescent="0.5">
      <c r="A4" s="6">
        <v>1</v>
      </c>
      <c r="B4" s="7" t="s">
        <v>218</v>
      </c>
      <c r="C4" s="7" t="s">
        <v>219</v>
      </c>
      <c r="D4" s="15" t="s">
        <v>220</v>
      </c>
      <c r="E4" s="16" t="s">
        <v>221</v>
      </c>
      <c r="F4" s="8">
        <v>41</v>
      </c>
      <c r="G4" s="9">
        <v>1</v>
      </c>
      <c r="H4" s="10">
        <v>150000</v>
      </c>
      <c r="I4" s="10">
        <f t="shared" ref="I4:I5" si="0">G4*H4+1000</f>
        <v>151000</v>
      </c>
      <c r="J4" s="11">
        <v>46167</v>
      </c>
      <c r="K4" s="12" t="s">
        <v>18</v>
      </c>
      <c r="L4" s="17"/>
    </row>
    <row r="5" spans="1:12" ht="75" customHeight="1" x14ac:dyDescent="0.25">
      <c r="A5" s="6">
        <v>2</v>
      </c>
      <c r="B5" s="7" t="s">
        <v>271</v>
      </c>
      <c r="C5" s="7" t="s">
        <v>168</v>
      </c>
      <c r="D5" s="15" t="s">
        <v>272</v>
      </c>
      <c r="E5" s="18" t="s">
        <v>273</v>
      </c>
      <c r="F5" s="8" t="s">
        <v>274</v>
      </c>
      <c r="G5" s="9">
        <v>10</v>
      </c>
      <c r="H5" s="10">
        <v>150000</v>
      </c>
      <c r="I5" s="10">
        <f t="shared" si="0"/>
        <v>1501000</v>
      </c>
      <c r="J5" s="11">
        <v>46167</v>
      </c>
      <c r="K5" s="12" t="s">
        <v>12</v>
      </c>
      <c r="L5" s="17" t="s">
        <v>13</v>
      </c>
    </row>
    <row r="6" spans="1:12" ht="75" customHeight="1" x14ac:dyDescent="0.25">
      <c r="A6" s="30" t="s">
        <v>9</v>
      </c>
      <c r="B6" s="31"/>
      <c r="C6" s="31"/>
      <c r="D6" s="31"/>
      <c r="E6" s="31"/>
      <c r="F6" s="31"/>
      <c r="G6" s="31"/>
      <c r="H6" s="32"/>
      <c r="I6" s="13">
        <f>SUM(I4:I5)</f>
        <v>1652000</v>
      </c>
      <c r="J6" s="14"/>
    </row>
  </sheetData>
  <mergeCells count="2">
    <mergeCell ref="A1:I1"/>
    <mergeCell ref="A6:H6"/>
  </mergeCells>
  <pageMargins left="0.7" right="0.7" top="0.75" bottom="0.75" header="0.3" footer="0.3"/>
  <pageSetup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64DC4-A5DB-43B3-9DE0-65C23D0CAC52}">
  <dimension ref="A1:L7"/>
  <sheetViews>
    <sheetView topLeftCell="A3" zoomScaleNormal="100" workbookViewId="0">
      <selection activeCell="E6" sqref="E6"/>
    </sheetView>
  </sheetViews>
  <sheetFormatPr defaultRowHeight="15" x14ac:dyDescent="0.25"/>
  <cols>
    <col min="1" max="1" width="9.140625" style="2"/>
    <col min="2" max="2" width="30.7109375" style="2" customWidth="1"/>
    <col min="3" max="3" width="38.7109375" style="2" bestFit="1" customWidth="1"/>
    <col min="4" max="4" width="19.140625" style="2" bestFit="1" customWidth="1"/>
    <col min="5" max="5" width="30.7109375" style="2" customWidth="1"/>
    <col min="6" max="6" width="21.85546875" style="2" customWidth="1"/>
    <col min="7" max="7" width="20.42578125" style="2" bestFit="1" customWidth="1"/>
    <col min="8" max="8" width="11.140625" style="2" bestFit="1" customWidth="1"/>
    <col min="9" max="9" width="16.7109375" style="2" bestFit="1" customWidth="1"/>
    <col min="10" max="10" width="16.7109375" style="2" customWidth="1"/>
    <col min="11" max="11" width="18.140625" style="2" bestFit="1" customWidth="1"/>
    <col min="12" max="12" width="17.7109375" style="2" bestFit="1" customWidth="1"/>
    <col min="13" max="16384" width="9.140625" style="2"/>
  </cols>
  <sheetData>
    <row r="1" spans="1:12" ht="2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1"/>
    </row>
    <row r="2" spans="1:12" ht="21" x14ac:dyDescent="0.35">
      <c r="A2" s="1"/>
      <c r="B2" s="1"/>
      <c r="C2" s="1"/>
      <c r="D2" s="1"/>
      <c r="E2" s="1"/>
      <c r="F2" s="17"/>
      <c r="G2" s="1"/>
      <c r="H2" s="1"/>
      <c r="K2" s="3">
        <v>46168</v>
      </c>
    </row>
    <row r="3" spans="1:12" ht="18.7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75" customHeight="1" x14ac:dyDescent="0.5">
      <c r="A4" s="6">
        <v>1</v>
      </c>
      <c r="B4" s="7" t="s">
        <v>275</v>
      </c>
      <c r="C4" s="7" t="s">
        <v>276</v>
      </c>
      <c r="D4" s="15" t="s">
        <v>277</v>
      </c>
      <c r="E4" s="16" t="s">
        <v>278</v>
      </c>
      <c r="F4" s="8">
        <v>7</v>
      </c>
      <c r="G4" s="9">
        <v>1</v>
      </c>
      <c r="H4" s="10">
        <v>150000</v>
      </c>
      <c r="I4" s="10">
        <f t="shared" ref="I4:I6" si="0">G4*H4+1000</f>
        <v>151000</v>
      </c>
      <c r="J4" s="11">
        <v>46168</v>
      </c>
      <c r="K4" s="12" t="s">
        <v>12</v>
      </c>
      <c r="L4" s="17" t="s">
        <v>13</v>
      </c>
    </row>
    <row r="5" spans="1:12" ht="75" customHeight="1" x14ac:dyDescent="0.5">
      <c r="A5" s="6">
        <v>2</v>
      </c>
      <c r="B5" s="7" t="s">
        <v>279</v>
      </c>
      <c r="C5" s="7" t="s">
        <v>280</v>
      </c>
      <c r="D5" s="15" t="s">
        <v>281</v>
      </c>
      <c r="E5" s="16" t="s">
        <v>282</v>
      </c>
      <c r="F5" s="8">
        <v>12</v>
      </c>
      <c r="G5" s="9">
        <v>1</v>
      </c>
      <c r="H5" s="10">
        <v>150000</v>
      </c>
      <c r="I5" s="10">
        <f t="shared" si="0"/>
        <v>151000</v>
      </c>
      <c r="J5" s="11">
        <v>46168</v>
      </c>
      <c r="K5" s="12" t="s">
        <v>18</v>
      </c>
      <c r="L5" s="17" t="s">
        <v>13</v>
      </c>
    </row>
    <row r="6" spans="1:12" ht="75" customHeight="1" x14ac:dyDescent="0.25">
      <c r="A6" s="6">
        <v>3</v>
      </c>
      <c r="B6" s="7" t="s">
        <v>283</v>
      </c>
      <c r="C6" s="7" t="s">
        <v>284</v>
      </c>
      <c r="D6" s="15" t="s">
        <v>285</v>
      </c>
      <c r="E6" s="18" t="s">
        <v>286</v>
      </c>
      <c r="F6" s="8" t="s">
        <v>79</v>
      </c>
      <c r="G6" s="9">
        <v>1</v>
      </c>
      <c r="H6" s="10">
        <v>50000</v>
      </c>
      <c r="I6" s="10">
        <f t="shared" si="0"/>
        <v>51000</v>
      </c>
      <c r="J6" s="11">
        <v>46168</v>
      </c>
      <c r="K6" s="12" t="s">
        <v>12</v>
      </c>
      <c r="L6" s="17"/>
    </row>
    <row r="7" spans="1:12" ht="75" customHeight="1" x14ac:dyDescent="0.25">
      <c r="A7" s="30" t="s">
        <v>9</v>
      </c>
      <c r="B7" s="31"/>
      <c r="C7" s="31"/>
      <c r="D7" s="31"/>
      <c r="E7" s="31"/>
      <c r="F7" s="31"/>
      <c r="G7" s="31"/>
      <c r="H7" s="32"/>
      <c r="I7" s="13">
        <f>SUM(I4:I5)</f>
        <v>302000</v>
      </c>
      <c r="J7" s="14"/>
    </row>
  </sheetData>
  <mergeCells count="2">
    <mergeCell ref="A1:I1"/>
    <mergeCell ref="A7:H7"/>
  </mergeCells>
  <pageMargins left="0.7" right="0.7" top="0.75" bottom="0.75" header="0.3" footer="0.3"/>
  <pageSetup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B68AD-24D1-4727-B87E-BC6A08792F3F}">
  <dimension ref="A1:L11"/>
  <sheetViews>
    <sheetView topLeftCell="A8" zoomScaleNormal="100" workbookViewId="0">
      <selection activeCell="B10" sqref="B10"/>
    </sheetView>
  </sheetViews>
  <sheetFormatPr defaultRowHeight="15" x14ac:dyDescent="0.25"/>
  <cols>
    <col min="1" max="1" width="9.140625" style="2"/>
    <col min="2" max="2" width="30.7109375" style="2" customWidth="1"/>
    <col min="3" max="3" width="38.7109375" style="2" bestFit="1" customWidth="1"/>
    <col min="4" max="4" width="19.140625" style="2" bestFit="1" customWidth="1"/>
    <col min="5" max="5" width="30.7109375" style="2" customWidth="1"/>
    <col min="6" max="6" width="21.85546875" style="2" customWidth="1"/>
    <col min="7" max="7" width="20.42578125" style="2" bestFit="1" customWidth="1"/>
    <col min="8" max="8" width="11.140625" style="2" bestFit="1" customWidth="1"/>
    <col min="9" max="9" width="16.7109375" style="2" bestFit="1" customWidth="1"/>
    <col min="10" max="10" width="16.7109375" style="2" customWidth="1"/>
    <col min="11" max="11" width="18.140625" style="2" bestFit="1" customWidth="1"/>
    <col min="12" max="12" width="17.7109375" style="2" bestFit="1" customWidth="1"/>
    <col min="13" max="16384" width="9.140625" style="2"/>
  </cols>
  <sheetData>
    <row r="1" spans="1:12" ht="2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1"/>
    </row>
    <row r="2" spans="1:12" ht="21" x14ac:dyDescent="0.35">
      <c r="A2" s="1"/>
      <c r="B2" s="1"/>
      <c r="C2" s="1"/>
      <c r="D2" s="1"/>
      <c r="E2" s="1"/>
      <c r="F2" s="17"/>
      <c r="G2" s="1"/>
      <c r="H2" s="1"/>
      <c r="K2" s="3">
        <v>46169</v>
      </c>
    </row>
    <row r="3" spans="1:12" ht="18.7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75" customHeight="1" x14ac:dyDescent="0.5">
      <c r="A4" s="6">
        <v>1</v>
      </c>
      <c r="B4" s="7" t="s">
        <v>287</v>
      </c>
      <c r="C4" s="7" t="s">
        <v>288</v>
      </c>
      <c r="D4" s="15" t="s">
        <v>289</v>
      </c>
      <c r="E4" s="16" t="s">
        <v>290</v>
      </c>
      <c r="F4" s="8" t="s">
        <v>291</v>
      </c>
      <c r="G4" s="9">
        <v>2</v>
      </c>
      <c r="H4" s="10">
        <v>150000</v>
      </c>
      <c r="I4" s="10">
        <f t="shared" ref="I4:I7" si="0">G4*H4+1000</f>
        <v>301000</v>
      </c>
      <c r="J4" s="11">
        <v>46169</v>
      </c>
      <c r="K4" s="12" t="s">
        <v>18</v>
      </c>
      <c r="L4" s="17"/>
    </row>
    <row r="5" spans="1:12" ht="75" customHeight="1" x14ac:dyDescent="0.5">
      <c r="A5" s="6">
        <v>2</v>
      </c>
      <c r="B5" s="7" t="s">
        <v>287</v>
      </c>
      <c r="C5" s="7" t="s">
        <v>288</v>
      </c>
      <c r="D5" s="15" t="s">
        <v>292</v>
      </c>
      <c r="E5" s="16" t="s">
        <v>293</v>
      </c>
      <c r="F5" s="8" t="s">
        <v>291</v>
      </c>
      <c r="G5" s="9">
        <v>2</v>
      </c>
      <c r="H5" s="10">
        <v>150000</v>
      </c>
      <c r="I5" s="10">
        <f t="shared" si="0"/>
        <v>301000</v>
      </c>
      <c r="J5" s="11">
        <v>46169</v>
      </c>
      <c r="K5" s="12" t="s">
        <v>18</v>
      </c>
    </row>
    <row r="6" spans="1:12" ht="75" customHeight="1" x14ac:dyDescent="0.5">
      <c r="A6" s="6">
        <v>3</v>
      </c>
      <c r="B6" s="7" t="s">
        <v>294</v>
      </c>
      <c r="C6" s="7" t="s">
        <v>295</v>
      </c>
      <c r="D6" s="15" t="s">
        <v>296</v>
      </c>
      <c r="E6" s="16" t="s">
        <v>297</v>
      </c>
      <c r="F6" s="8">
        <v>25</v>
      </c>
      <c r="G6" s="9">
        <v>1</v>
      </c>
      <c r="H6" s="10">
        <v>150000</v>
      </c>
      <c r="I6" s="10">
        <f t="shared" si="0"/>
        <v>151000</v>
      </c>
      <c r="J6" s="11">
        <v>46169</v>
      </c>
      <c r="K6" s="12" t="s">
        <v>12</v>
      </c>
      <c r="L6" s="17"/>
    </row>
    <row r="7" spans="1:12" ht="75" customHeight="1" x14ac:dyDescent="0.25">
      <c r="A7" s="6">
        <v>4</v>
      </c>
      <c r="B7" s="7" t="s">
        <v>309</v>
      </c>
      <c r="C7" s="7" t="s">
        <v>310</v>
      </c>
      <c r="D7" s="15" t="s">
        <v>311</v>
      </c>
      <c r="E7" s="18" t="s">
        <v>312</v>
      </c>
      <c r="F7" s="8">
        <v>9</v>
      </c>
      <c r="G7" s="9">
        <v>1</v>
      </c>
      <c r="H7" s="10">
        <v>150000</v>
      </c>
      <c r="I7" s="10">
        <f t="shared" si="0"/>
        <v>151000</v>
      </c>
      <c r="J7" s="11">
        <v>46169</v>
      </c>
      <c r="K7" s="12" t="s">
        <v>313</v>
      </c>
      <c r="L7" s="17"/>
    </row>
    <row r="8" spans="1:12" ht="75" customHeight="1" x14ac:dyDescent="0.25">
      <c r="A8" s="6">
        <v>5</v>
      </c>
      <c r="B8" s="7" t="s">
        <v>298</v>
      </c>
      <c r="C8" s="7" t="s">
        <v>299</v>
      </c>
      <c r="D8" s="15" t="s">
        <v>300</v>
      </c>
      <c r="E8" s="18" t="s">
        <v>301</v>
      </c>
      <c r="F8" s="8" t="s">
        <v>302</v>
      </c>
      <c r="G8" s="9">
        <v>7</v>
      </c>
      <c r="H8" s="10">
        <v>150000</v>
      </c>
      <c r="I8" s="10">
        <f t="shared" ref="I8:I10" si="1">G8*H8+1000</f>
        <v>1051000</v>
      </c>
      <c r="J8" s="11">
        <v>46169</v>
      </c>
      <c r="K8" s="12" t="s">
        <v>12</v>
      </c>
      <c r="L8" s="17" t="s">
        <v>13</v>
      </c>
    </row>
    <row r="9" spans="1:12" ht="75" customHeight="1" x14ac:dyDescent="0.5">
      <c r="A9" s="6">
        <v>6</v>
      </c>
      <c r="B9" s="7" t="s">
        <v>298</v>
      </c>
      <c r="C9" s="7" t="s">
        <v>299</v>
      </c>
      <c r="D9" s="15" t="s">
        <v>303</v>
      </c>
      <c r="E9" s="16" t="s">
        <v>304</v>
      </c>
      <c r="F9" s="8" t="s">
        <v>305</v>
      </c>
      <c r="G9" s="9">
        <v>4</v>
      </c>
      <c r="H9" s="10">
        <v>150000</v>
      </c>
      <c r="I9" s="10">
        <f t="shared" si="1"/>
        <v>601000</v>
      </c>
      <c r="J9" s="11">
        <v>46169</v>
      </c>
      <c r="K9" s="12" t="s">
        <v>12</v>
      </c>
      <c r="L9" s="17" t="s">
        <v>13</v>
      </c>
    </row>
    <row r="10" spans="1:12" ht="75" customHeight="1" x14ac:dyDescent="0.25">
      <c r="A10" s="6">
        <v>7</v>
      </c>
      <c r="B10" s="7" t="s">
        <v>298</v>
      </c>
      <c r="C10" s="7" t="s">
        <v>299</v>
      </c>
      <c r="D10" s="15" t="s">
        <v>306</v>
      </c>
      <c r="E10" s="18" t="s">
        <v>307</v>
      </c>
      <c r="F10" s="8" t="s">
        <v>308</v>
      </c>
      <c r="G10" s="9">
        <v>5</v>
      </c>
      <c r="H10" s="10">
        <v>150000</v>
      </c>
      <c r="I10" s="10">
        <f t="shared" si="1"/>
        <v>751000</v>
      </c>
      <c r="J10" s="11">
        <v>46169</v>
      </c>
      <c r="K10" s="12" t="s">
        <v>12</v>
      </c>
      <c r="L10" s="17" t="s">
        <v>13</v>
      </c>
    </row>
    <row r="11" spans="1:12" ht="75" customHeight="1" x14ac:dyDescent="0.25">
      <c r="A11" s="30" t="s">
        <v>9</v>
      </c>
      <c r="B11" s="31"/>
      <c r="C11" s="31"/>
      <c r="D11" s="31"/>
      <c r="E11" s="31"/>
      <c r="F11" s="31"/>
      <c r="G11" s="31"/>
      <c r="H11" s="32"/>
      <c r="I11" s="13">
        <f>SUM(I4:I10)</f>
        <v>3307000</v>
      </c>
      <c r="J11" s="14"/>
    </row>
  </sheetData>
  <mergeCells count="2">
    <mergeCell ref="A1:I1"/>
    <mergeCell ref="A11:H11"/>
  </mergeCells>
  <pageMargins left="0.7" right="0.7" top="0.75" bottom="0.75" header="0.3" footer="0.3"/>
  <pageSetup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E7A56-901D-46D2-8AD7-A2FA3D5F78E8}">
  <dimension ref="A1:L15"/>
  <sheetViews>
    <sheetView tabSelected="1" topLeftCell="C12" zoomScaleNormal="100" workbookViewId="0">
      <selection activeCell="I16" sqref="I16"/>
    </sheetView>
  </sheetViews>
  <sheetFormatPr defaultRowHeight="15" x14ac:dyDescent="0.25"/>
  <cols>
    <col min="1" max="1" width="9.140625" style="2"/>
    <col min="2" max="2" width="30.7109375" style="2" customWidth="1"/>
    <col min="3" max="3" width="38.7109375" style="2" bestFit="1" customWidth="1"/>
    <col min="4" max="4" width="19.140625" style="2" bestFit="1" customWidth="1"/>
    <col min="5" max="5" width="30.7109375" style="2" customWidth="1"/>
    <col min="6" max="6" width="21.85546875" style="2" customWidth="1"/>
    <col min="7" max="7" width="20.42578125" style="2" bestFit="1" customWidth="1"/>
    <col min="8" max="8" width="11.140625" style="2" bestFit="1" customWidth="1"/>
    <col min="9" max="9" width="16.7109375" style="2" bestFit="1" customWidth="1"/>
    <col min="10" max="10" width="16.7109375" style="2" customWidth="1"/>
    <col min="11" max="11" width="18.140625" style="2" bestFit="1" customWidth="1"/>
    <col min="12" max="12" width="17.7109375" style="2" bestFit="1" customWidth="1"/>
    <col min="13" max="16384" width="9.140625" style="2"/>
  </cols>
  <sheetData>
    <row r="1" spans="1:12" ht="2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1"/>
    </row>
    <row r="2" spans="1:12" ht="21" x14ac:dyDescent="0.35">
      <c r="A2" s="1"/>
      <c r="B2" s="1"/>
      <c r="C2" s="1"/>
      <c r="D2" s="1"/>
      <c r="E2" s="1"/>
      <c r="F2" s="17"/>
      <c r="G2" s="1"/>
      <c r="H2" s="1"/>
      <c r="K2" s="3">
        <v>46171</v>
      </c>
    </row>
    <row r="3" spans="1:12" ht="18.7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75" customHeight="1" x14ac:dyDescent="0.25">
      <c r="A4" s="6">
        <v>1</v>
      </c>
      <c r="B4" s="7" t="s">
        <v>314</v>
      </c>
      <c r="C4" s="7" t="s">
        <v>315</v>
      </c>
      <c r="D4" s="15" t="s">
        <v>316</v>
      </c>
      <c r="E4" s="18" t="s">
        <v>317</v>
      </c>
      <c r="F4" s="8" t="s">
        <v>318</v>
      </c>
      <c r="G4" s="9">
        <v>2</v>
      </c>
      <c r="H4" s="10">
        <v>150000</v>
      </c>
      <c r="I4" s="10">
        <f t="shared" ref="I4:I14" si="0">G4*H4+1000</f>
        <v>301000</v>
      </c>
      <c r="J4" s="11">
        <v>46171</v>
      </c>
      <c r="K4" s="12" t="s">
        <v>12</v>
      </c>
      <c r="L4" s="17" t="s">
        <v>13</v>
      </c>
    </row>
    <row r="5" spans="1:12" ht="75" customHeight="1" x14ac:dyDescent="0.25">
      <c r="A5" s="6">
        <v>2</v>
      </c>
      <c r="B5" s="7" t="s">
        <v>314</v>
      </c>
      <c r="C5" s="7" t="s">
        <v>315</v>
      </c>
      <c r="D5" s="15" t="s">
        <v>319</v>
      </c>
      <c r="E5" s="18" t="s">
        <v>320</v>
      </c>
      <c r="F5" s="8" t="s">
        <v>318</v>
      </c>
      <c r="G5" s="9">
        <v>2</v>
      </c>
      <c r="H5" s="10">
        <v>150000</v>
      </c>
      <c r="I5" s="10">
        <f t="shared" si="0"/>
        <v>301000</v>
      </c>
      <c r="J5" s="11">
        <v>46171</v>
      </c>
      <c r="K5" s="12" t="s">
        <v>12</v>
      </c>
      <c r="L5" s="17" t="s">
        <v>13</v>
      </c>
    </row>
    <row r="6" spans="1:12" ht="75" customHeight="1" x14ac:dyDescent="0.5">
      <c r="A6" s="6">
        <v>3</v>
      </c>
      <c r="B6" s="7" t="s">
        <v>314</v>
      </c>
      <c r="C6" s="7" t="s">
        <v>315</v>
      </c>
      <c r="D6" s="15" t="s">
        <v>321</v>
      </c>
      <c r="E6" s="16" t="s">
        <v>322</v>
      </c>
      <c r="F6" s="8" t="s">
        <v>318</v>
      </c>
      <c r="G6" s="9">
        <v>2</v>
      </c>
      <c r="H6" s="10">
        <v>150000</v>
      </c>
      <c r="I6" s="10">
        <f t="shared" si="0"/>
        <v>301000</v>
      </c>
      <c r="J6" s="11">
        <v>46171</v>
      </c>
      <c r="K6" s="12" t="s">
        <v>12</v>
      </c>
      <c r="L6" s="17" t="s">
        <v>13</v>
      </c>
    </row>
    <row r="7" spans="1:12" ht="75" customHeight="1" x14ac:dyDescent="0.25">
      <c r="A7" s="6">
        <v>4</v>
      </c>
      <c r="B7" s="7" t="s">
        <v>314</v>
      </c>
      <c r="C7" s="7" t="s">
        <v>315</v>
      </c>
      <c r="D7" s="15" t="s">
        <v>323</v>
      </c>
      <c r="E7" s="18" t="s">
        <v>324</v>
      </c>
      <c r="F7" s="8" t="s">
        <v>318</v>
      </c>
      <c r="G7" s="9">
        <v>2</v>
      </c>
      <c r="H7" s="10">
        <v>150000</v>
      </c>
      <c r="I7" s="10">
        <f t="shared" si="0"/>
        <v>301000</v>
      </c>
      <c r="J7" s="11">
        <v>46171</v>
      </c>
      <c r="K7" s="12" t="s">
        <v>12</v>
      </c>
      <c r="L7" s="17" t="s">
        <v>13</v>
      </c>
    </row>
    <row r="8" spans="1:12" ht="75" customHeight="1" x14ac:dyDescent="0.5">
      <c r="A8" s="6">
        <v>5</v>
      </c>
      <c r="B8" s="7" t="s">
        <v>314</v>
      </c>
      <c r="C8" s="7" t="s">
        <v>315</v>
      </c>
      <c r="D8" s="15" t="s">
        <v>325</v>
      </c>
      <c r="E8" s="16" t="s">
        <v>326</v>
      </c>
      <c r="F8" s="8" t="s">
        <v>318</v>
      </c>
      <c r="G8" s="9">
        <v>2</v>
      </c>
      <c r="H8" s="10">
        <v>150000</v>
      </c>
      <c r="I8" s="10">
        <f t="shared" si="0"/>
        <v>301000</v>
      </c>
      <c r="J8" s="11">
        <v>46171</v>
      </c>
      <c r="K8" s="12" t="s">
        <v>12</v>
      </c>
      <c r="L8" s="17" t="s">
        <v>13</v>
      </c>
    </row>
    <row r="9" spans="1:12" ht="75" customHeight="1" x14ac:dyDescent="0.5">
      <c r="A9" s="6">
        <v>6</v>
      </c>
      <c r="B9" s="7" t="s">
        <v>75</v>
      </c>
      <c r="C9" s="7" t="s">
        <v>327</v>
      </c>
      <c r="D9" s="15" t="s">
        <v>328</v>
      </c>
      <c r="E9" s="16" t="s">
        <v>329</v>
      </c>
      <c r="F9" s="8">
        <v>2</v>
      </c>
      <c r="G9" s="9">
        <v>1</v>
      </c>
      <c r="H9" s="10">
        <v>150000</v>
      </c>
      <c r="I9" s="10">
        <f t="shared" si="0"/>
        <v>151000</v>
      </c>
      <c r="J9" s="11">
        <v>46171</v>
      </c>
      <c r="K9" s="12" t="s">
        <v>12</v>
      </c>
      <c r="L9" s="17" t="s">
        <v>13</v>
      </c>
    </row>
    <row r="10" spans="1:12" ht="75" customHeight="1" x14ac:dyDescent="0.5">
      <c r="A10" s="6">
        <v>7</v>
      </c>
      <c r="B10" s="7" t="s">
        <v>75</v>
      </c>
      <c r="C10" s="7" t="s">
        <v>327</v>
      </c>
      <c r="D10" s="15" t="s">
        <v>330</v>
      </c>
      <c r="E10" s="16" t="s">
        <v>331</v>
      </c>
      <c r="F10" s="8">
        <v>2</v>
      </c>
      <c r="G10" s="9">
        <v>1</v>
      </c>
      <c r="H10" s="10">
        <v>150000</v>
      </c>
      <c r="I10" s="10">
        <f t="shared" si="0"/>
        <v>151000</v>
      </c>
      <c r="J10" s="11">
        <v>46171</v>
      </c>
      <c r="K10" s="12" t="s">
        <v>12</v>
      </c>
      <c r="L10" s="17" t="s">
        <v>13</v>
      </c>
    </row>
    <row r="11" spans="1:12" ht="75" customHeight="1" x14ac:dyDescent="0.5">
      <c r="A11" s="6">
        <v>8</v>
      </c>
      <c r="B11" s="7" t="s">
        <v>75</v>
      </c>
      <c r="C11" s="7" t="s">
        <v>327</v>
      </c>
      <c r="D11" s="15" t="s">
        <v>332</v>
      </c>
      <c r="E11" s="16" t="s">
        <v>333</v>
      </c>
      <c r="F11" s="8">
        <v>2</v>
      </c>
      <c r="G11" s="9">
        <v>1</v>
      </c>
      <c r="H11" s="10">
        <v>150000</v>
      </c>
      <c r="I11" s="10">
        <f t="shared" si="0"/>
        <v>151000</v>
      </c>
      <c r="J11" s="11">
        <v>46171</v>
      </c>
      <c r="K11" s="12" t="s">
        <v>313</v>
      </c>
      <c r="L11" s="17" t="s">
        <v>13</v>
      </c>
    </row>
    <row r="12" spans="1:12" ht="75" customHeight="1" x14ac:dyDescent="0.25">
      <c r="A12" s="6">
        <v>9</v>
      </c>
      <c r="B12" s="7" t="s">
        <v>184</v>
      </c>
      <c r="C12" s="7" t="s">
        <v>334</v>
      </c>
      <c r="D12" s="15" t="s">
        <v>335</v>
      </c>
      <c r="E12" s="18" t="s">
        <v>336</v>
      </c>
      <c r="F12" s="8" t="s">
        <v>337</v>
      </c>
      <c r="G12" s="9">
        <v>2</v>
      </c>
      <c r="H12" s="10">
        <v>150000</v>
      </c>
      <c r="I12" s="10">
        <f t="shared" si="0"/>
        <v>301000</v>
      </c>
      <c r="J12" s="11">
        <v>46171</v>
      </c>
      <c r="K12" s="12" t="s">
        <v>12</v>
      </c>
      <c r="L12" s="17" t="s">
        <v>13</v>
      </c>
    </row>
    <row r="13" spans="1:12" ht="75" customHeight="1" x14ac:dyDescent="0.25">
      <c r="A13" s="6">
        <v>10</v>
      </c>
      <c r="B13" s="7"/>
      <c r="C13" s="7" t="s">
        <v>338</v>
      </c>
      <c r="D13" s="15" t="s">
        <v>339</v>
      </c>
      <c r="E13" s="18" t="s">
        <v>340</v>
      </c>
      <c r="F13" s="8" t="s">
        <v>79</v>
      </c>
      <c r="G13" s="9">
        <v>1</v>
      </c>
      <c r="H13" s="10">
        <v>150000</v>
      </c>
      <c r="I13" s="10">
        <f t="shared" si="0"/>
        <v>151000</v>
      </c>
      <c r="J13" s="11">
        <v>46171</v>
      </c>
      <c r="K13" s="12" t="s">
        <v>12</v>
      </c>
      <c r="L13" s="17"/>
    </row>
    <row r="14" spans="1:12" ht="75" customHeight="1" x14ac:dyDescent="0.25">
      <c r="A14" s="6">
        <v>11</v>
      </c>
      <c r="B14" s="7"/>
      <c r="C14" s="7" t="s">
        <v>341</v>
      </c>
      <c r="D14" s="15" t="s">
        <v>342</v>
      </c>
      <c r="E14" s="18" t="s">
        <v>343</v>
      </c>
      <c r="F14" s="8" t="s">
        <v>79</v>
      </c>
      <c r="G14" s="9">
        <v>1</v>
      </c>
      <c r="H14" s="10">
        <v>150000</v>
      </c>
      <c r="I14" s="10">
        <f t="shared" si="0"/>
        <v>151000</v>
      </c>
      <c r="J14" s="11">
        <v>46171</v>
      </c>
      <c r="K14" s="12" t="s">
        <v>12</v>
      </c>
      <c r="L14" s="17"/>
    </row>
    <row r="15" spans="1:12" ht="75" customHeight="1" x14ac:dyDescent="0.25">
      <c r="A15" s="30" t="s">
        <v>9</v>
      </c>
      <c r="B15" s="31"/>
      <c r="C15" s="31"/>
      <c r="D15" s="31"/>
      <c r="E15" s="31"/>
      <c r="F15" s="31"/>
      <c r="G15" s="31"/>
      <c r="H15" s="32"/>
      <c r="I15" s="13">
        <f>SUM(I4:I14)</f>
        <v>2561000</v>
      </c>
      <c r="J15" s="14"/>
    </row>
  </sheetData>
  <mergeCells count="2">
    <mergeCell ref="A1:I1"/>
    <mergeCell ref="A15:H15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4 May</vt:lpstr>
      <vt:lpstr>5 May</vt:lpstr>
      <vt:lpstr>11 May</vt:lpstr>
      <vt:lpstr>15 May</vt:lpstr>
      <vt:lpstr>21 May</vt:lpstr>
      <vt:lpstr>22 May</vt:lpstr>
      <vt:lpstr>25 May</vt:lpstr>
      <vt:lpstr>26 May</vt:lpstr>
      <vt:lpstr>27 May</vt:lpstr>
      <vt:lpstr>29 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Chaw Su Win</dc:creator>
  <cp:lastModifiedBy>Chaw Su Win</cp:lastModifiedBy>
  <dcterms:created xsi:type="dcterms:W3CDTF">2024-02-02T04:29:46Z</dcterms:created>
  <dcterms:modified xsi:type="dcterms:W3CDTF">2026-08-19T07:32:24Z</dcterms:modified>
</cp:coreProperties>
</file>